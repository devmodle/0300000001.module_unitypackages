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l" sheetId="2" r:id="rId5"/>
    <sheet state="visible" name="Str" sheetId="3" r:id="rId6"/>
    <sheet state="visible" name="Calc" sheetId="4" r:id="rId7"/>
    <sheet state="visible" name="Tutorial" sheetId="5" r:id="rId8"/>
    <sheet state="visible" name="FX" sheetId="6" r:id="rId9"/>
    <sheet state="visible" name="LevelEpisode" sheetId="7" r:id="rId10"/>
    <sheet state="visible" name="StageEpisode" sheetId="8" r:id="rId11"/>
    <sheet state="visible" name="ChapterEpisode" sheetId="9" r:id="rId12"/>
  </sheets>
  <definedNames/>
  <calcPr/>
</workbook>
</file>

<file path=xl/sharedStrings.xml><?xml version="1.0" encoding="utf-8"?>
<sst xmlns="http://schemas.openxmlformats.org/spreadsheetml/2006/main" count="739" uniqueCount="601">
  <si>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</si>
  <si>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</si>
  <si>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</si>
  <si>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</si>
  <si>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</si>
  <si>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</si>
  <si>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</si>
  <si>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</si>
  <si>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</si>
  <si>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</si>
  <si>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</si>
  <si>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</si>
  <si>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</si>
  <si>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</si>
  <si>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</si>
  <si>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일반 코인</t>
  </si>
  <si>
    <t>플레이어 공격 1 - 1</t>
  </si>
  <si>
    <t>레벨</t>
  </si>
  <si>
    <t>중분류 - 2 (KT) [0 ~ 98 or 998]</t>
  </si>
  <si>
    <t>아이템 레벨</t>
  </si>
  <si>
    <t>코인 상자 코인</t>
  </si>
  <si>
    <t>일반 적 공격 1 - 1</t>
  </si>
  <si>
    <t>레벨 증가</t>
  </si>
  <si>
    <t>소분류 (SKT) [0 ~ 998]</t>
  </si>
  <si>
    <t>아이템 경험치</t>
  </si>
  <si>
    <t>보스 적 공격 1 - 1</t>
  </si>
  <si>
    <t>레벨 감소</t>
  </si>
  <si>
    <t>베리에이션 (DSKT) [0 ~ 98]</t>
  </si>
  <si>
    <t>아이템 개수</t>
  </si>
  <si>
    <t>힌트</t>
  </si>
  <si>
    <t>아이템 강화</t>
  </si>
  <si>
    <t>이어하기</t>
  </si>
  <si>
    <t>경험치</t>
  </si>
  <si>
    <t>값 타입</t>
  </si>
  <si>
    <t>재배치</t>
  </si>
  <si>
    <t>경험치 증가</t>
  </si>
  <si>
    <t>스킬</t>
  </si>
  <si>
    <t>경험치 감소</t>
  </si>
  <si>
    <t>정수</t>
  </si>
  <si>
    <t>스킬 레벨</t>
  </si>
  <si>
    <t>광고 제거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</si>
  <si>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</si>
  <si>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</si>
  <si>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</si>
  <si>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</si>
  <si>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</si>
  <si>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</si>
  <si>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</si>
  <si>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</si>
  <si>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</si>
  <si>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</si>
  <si>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</si>
  <si>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</si>
  <si>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</si>
  <si>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</si>
  <si>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</si>
  <si>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</si>
  <si>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</si>
  <si>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</si>
  <si>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</si>
  <si>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</si>
  <si>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</si>
  <si>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</si>
  <si>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</si>
  <si>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</si>
  <si>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</si>
  <si>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</si>
  <si>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</si>
  <si>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</si>
  <si>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</si>
  <si>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</si>
  <si>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</si>
  <si>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</si>
  <si>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</si>
  <si>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</si>
  <si>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</si>
  <si>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</si>
  <si>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</si>
  <si>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에피소드 식별자 범위</t>
  </si>
  <si>
    <t>기력 감소 - 1</t>
  </si>
  <si>
    <t>0 ~ 9998</t>
  </si>
  <si>
    <t>스테이지</t>
  </si>
  <si>
    <t>0 ~ 998</t>
  </si>
  <si>
    <t>회복 - 1</t>
  </si>
  <si>
    <t>챕터</t>
  </si>
  <si>
    <t>0 ~ 98</t>
  </si>
  <si>
    <t>회복 - 2</t>
  </si>
  <si>
    <t>회복 증가 - 1</t>
  </si>
  <si>
    <t>에피소드 종류</t>
  </si>
  <si>
    <t>회복 감소 - 1</t>
  </si>
  <si>
    <t>일반 레벨</t>
  </si>
  <si>
    <t>체력 회복 - 1</t>
  </si>
  <si>
    <t>보스 레벨</t>
  </si>
  <si>
    <t>체력 회복 - 2</t>
  </si>
  <si>
    <t>체력 회복 증가 - 1</t>
  </si>
  <si>
    <t>일반 스테이지</t>
  </si>
  <si>
    <t>체력 회복 감소 - 1</t>
  </si>
  <si>
    <t>보스 스테이지</t>
  </si>
  <si>
    <t>마력 회복 - 1</t>
  </si>
  <si>
    <t>일반 챕터</t>
  </si>
  <si>
    <t>마력 회복 - 2</t>
  </si>
  <si>
    <t>보스 챕터</t>
  </si>
  <si>
    <t>마력 회복 증가 - 1</t>
  </si>
  <si>
    <t>마력 회복 감소 - 1</t>
  </si>
  <si>
    <t>난이도 종류</t>
  </si>
  <si>
    <t>기력 회복 - 1</t>
  </si>
  <si>
    <t>Easy</t>
  </si>
  <si>
    <t>기력 회복 - 2</t>
  </si>
  <si>
    <t>Norm</t>
  </si>
  <si>
    <t>기력 회복 증가 - 1</t>
  </si>
  <si>
    <t>Hard</t>
  </si>
  <si>
    <t>기력 회복 감소 - 1</t>
  </si>
  <si>
    <t>Very Hard</t>
  </si>
  <si>
    <t>Super Hard</t>
  </si>
  <si>
    <t>공격력 - 1</t>
  </si>
  <si>
    <t>Ultra Hard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</si>
  <si>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</si>
  <si>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</si>
  <si>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</si>
  <si>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</si>
  <si>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</si>
  <si>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</si>
  <si>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</si>
  <si>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</si>
  <si>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</si>
  <si>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</si>
  <si>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</si>
  <si>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</si>
  <si>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</si>
  <si>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</si>
  <si>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</si>
  <si>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</si>
  <si>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</si>
  <si>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</si>
  <si>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</si>
  <si>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</si>
  <si>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</si>
  <si>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</si>
  <si>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</si>
  <si>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</si>
  <si>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</si>
  <si>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</si>
  <si>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</si>
  <si>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</si>
  <si>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</si>
  <si>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</si>
  <si>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</si>
  <si>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</si>
  <si>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</si>
  <si>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</si>
  <si>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</si>
  <si>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</si>
  <si>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</si>
  <si>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</si>
  <si>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</si>
  <si>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</si>
  <si>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</si>
  <si>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</si>
  <si>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</si>
  <si>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</si>
  <si>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</si>
  <si>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</si>
  <si>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</si>
  <si>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</si>
  <si>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</si>
  <si>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</si>
  <si>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</si>
  <si>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</si>
  <si>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</si>
  <si>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</si>
  <si>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</si>
  <si>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</si>
  <si>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</si>
  <si>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</si>
  <si>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</si>
  <si>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</si>
  <si>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</si>
  <si>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</si>
  <si>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</si>
  <si>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</si>
  <si>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</si>
  <si>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</si>
  <si>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</si>
  <si>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</si>
  <si>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</si>
  <si>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</si>
  <si>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</si>
  <si>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</si>
  <si>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</si>
  <si>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</si>
  <si>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</si>
  <si>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</si>
  <si>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</si>
  <si>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</si>
  <si>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</si>
  <si>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</si>
  <si>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</si>
  <si>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</si>
  <si>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</si>
  <si>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</si>
  <si>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</si>
  <si>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</si>
  <si>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</si>
  <si>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</si>
  <si>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데스크 탑 퀄리티 수준</t>
  </si>
  <si>
    <t>DESKTOP_QUALITY_LEVEL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</si>
  <si>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</si>
  <si>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</si>
  <si>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</si>
  <si>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</si>
  <si>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</si>
  <si>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</si>
  <si>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</si>
  <si>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</si>
  <si>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데스크 탑 타겟 프레임</t>
  </si>
  <si>
    <t>DESKTOP_TARGET_FRAME_RATE</t>
  </si>
  <si>
    <t>콘솔 타겟 프레임</t>
  </si>
  <si>
    <t>CONSOLE_TARGET_FRAME_RATE</t>
  </si>
  <si>
    <t>휴대용 콘솔 타겟 프레임</t>
  </si>
  <si>
    <t>HANDHELD_CONSOLE_TARGET_FRAME_RATE</t>
  </si>
  <si>
    <t>Korean</t>
  </si>
  <si>
    <t>English</t>
  </si>
  <si>
    <t>시작 씬 로딩 텍스트</t>
  </si>
  <si>
    <t>START_SM_LOADING_TEXT</t>
  </si>
  <si>
    <t>Loading...</t>
  </si>
  <si>
    <t>종료 팝업 메세지</t>
  </si>
  <si>
    <t>QUIT_P_MSG</t>
  </si>
  <si>
    <t>게임을 종료하시겠습니까?</t>
  </si>
  <si>
    <t>Do you want to quit the game?</t>
  </si>
  <si>
    <t>그만두기 팝업 메세지</t>
  </si>
  <si>
    <t>LEAVE_P_MSG</t>
  </si>
  <si>
    <t>게임을 그만두시겠습니까?</t>
  </si>
  <si>
    <t>Do you want to leave the game?</t>
  </si>
  <si>
    <t>업데이트 팝업 메세지</t>
  </si>
  <si>
    <t>UPDATE_P_MSG</t>
  </si>
  <si>
    <t>새로운 버전이 출시되었습니다.\n업데이트 하시겠습니까?</t>
  </si>
  <si>
    <t>A new version has been released.\nWould you like to update it?</t>
  </si>
  <si>
    <t>로드 팝업 메세지</t>
  </si>
  <si>
    <t>LOAD_P_MSG</t>
  </si>
  <si>
    <t>진행 상황을 로드하시겠습니까?\n&lt;color=#ff0000ff&gt;&lt;size=24&gt;(로드 시 현재 진행 상황은 복구 할 수 없습니다)&lt;/size&gt;&lt;/color&gt;</t>
  </si>
  <si>
    <t>Do you want to load progress?\n&lt;color=#ff0000ff&gt;&lt;size=24&gt;(When loading, current progress cannot be recovered)&lt;/size&gt;&lt;/color&gt;</t>
  </si>
  <si>
    <t>저장 팝업 메세지</t>
  </si>
  <si>
    <t>SAVE_P_MSG</t>
  </si>
  <si>
    <t>진행 상황을 저장하시겠습니까?\n&lt;color=#ff0000ff&gt;&lt;size=24&gt;(저장 시 이전 진행 상황은 복구 할 수 없습니다)&lt;/size&gt;&lt;/color&gt;</t>
  </si>
  <si>
    <t>Do you want to save progress?\n&lt;color=#ff0000ff&gt;&lt;size=24&gt;(When saving, previous progress cannot be recovered)&lt;/size&gt;&lt;/color&gt;</t>
  </si>
  <si>
    <t>추적 설명 팝업 타이틀</t>
  </si>
  <si>
    <t>TRACKING_DP_TITLE</t>
  </si>
  <si>
    <t>알림</t>
  </si>
  <si>
    <t>Notice</t>
  </si>
  <si>
    <t>추적 설명 팝업 메세지</t>
  </si>
  <si>
    <t>TRACKING_DP_MSG</t>
  </si>
  <si>
    <t>다음 화면에서\n추적 허용</t>
  </si>
  <si>
    <t>Allow tracking on the\nnext screen for</t>
  </si>
  <si>
    <t>추적 설명 팝업 설명 메세지 1</t>
  </si>
  <si>
    <t>TRACKING_DP_DESC_MSG_01</t>
  </si>
  <si>
    <t>- 특별한 프로모션을 제공해\n드립니다</t>
  </si>
  <si>
    <t>- Special offers and promotions\njust for you</t>
  </si>
  <si>
    <t>추적 설명 팝업 설명 메세지 2</t>
  </si>
  <si>
    <t>TRACKING_DP_DESC_MSG_02</t>
  </si>
  <si>
    <t>- 관심사에 맞는 광고를 보여\n드립니다</t>
  </si>
  <si>
    <t>- Advertisements that match\nyour interests</t>
  </si>
  <si>
    <t>추적 설명 팝업 설명 메세지 3</t>
  </si>
  <si>
    <t>TRACKING_DP_DESC_MSG_03</t>
  </si>
  <si>
    <t>- 개인화 된 경험을 향상 시켜\n드립니다</t>
  </si>
  <si>
    <t>- An improved personalized\nexperience over time</t>
  </si>
  <si>
    <t>공용 로그인 성공 메세지</t>
  </si>
  <si>
    <t>C_ON_LOGIN_MSG</t>
  </si>
  <si>
    <t>로그인했습니다</t>
  </si>
  <si>
    <t>You have successfully login</t>
  </si>
  <si>
    <t>공용 로그인 실패 메세지</t>
  </si>
  <si>
    <t>C_ON_LOGIN_FAIL_MSG</t>
  </si>
  <si>
    <t>로그인에 실패했습니다</t>
  </si>
  <si>
    <t>You have failed to login</t>
  </si>
  <si>
    <t>공용 로그아웃 성공 메세지</t>
  </si>
  <si>
    <t>C_ON_LOGOUT_MSG</t>
  </si>
  <si>
    <t>로그아웃했습니다</t>
  </si>
  <si>
    <t>You have successfully logout</t>
  </si>
  <si>
    <t>공용 로그아웃 실패 메세지</t>
  </si>
  <si>
    <t>C_ON_LOGOUT_FAIL_MSG</t>
  </si>
  <si>
    <t>로그아웃에 실패했습니다</t>
  </si>
  <si>
    <t>You have failed to logout</t>
  </si>
  <si>
    <t>공용 로드 성공 메세지</t>
  </si>
  <si>
    <t>C_ON_LOAD_MSG</t>
  </si>
  <si>
    <t>진행 상황을 로드했습니다</t>
  </si>
  <si>
    <t>You have successfully loaded progress</t>
  </si>
  <si>
    <t>공용 로드 실패 메세지</t>
  </si>
  <si>
    <t>C_ON_LOAD_FAIL_MSG</t>
  </si>
  <si>
    <t>진행 상황 로드에 실패했습니다</t>
  </si>
  <si>
    <t>You have failed to load progress</t>
  </si>
  <si>
    <t>공용 저장 성공 메세지</t>
  </si>
  <si>
    <t>C_ON_SAVE_MSG</t>
  </si>
  <si>
    <t>진행 상황을 저장했습니다</t>
  </si>
  <si>
    <t>You have successfully saved progress</t>
  </si>
  <si>
    <t>공용 저장 실패 메세지</t>
  </si>
  <si>
    <t>C_ON_SAVE_FAIL_MSG</t>
  </si>
  <si>
    <t>진행 상황 저장에 실패했습니다</t>
  </si>
  <si>
    <t>You have failed to save progress</t>
  </si>
  <si>
    <t>공용 결제 성공 메세지</t>
  </si>
  <si>
    <t>C_ON_PURCHASE_MSG</t>
  </si>
  <si>
    <t>해당 상품을 구입했습니다</t>
  </si>
  <si>
    <t>You have successfully purchased this product</t>
  </si>
  <si>
    <t>공용 결제 실패 메세지</t>
  </si>
  <si>
    <t>C_ON_PURCHASE_FAIL_MSG</t>
  </si>
  <si>
    <t>해당 상품 구입에 실패했습니다</t>
  </si>
  <si>
    <t>You have failed to purchase this product</t>
  </si>
  <si>
    <t>공용 복원 성공 메세지</t>
  </si>
  <si>
    <t>C_ON_RESTORE_MSG</t>
  </si>
  <si>
    <t>상품을 복원했습니다</t>
  </si>
  <si>
    <t>The product has been restored</t>
  </si>
  <si>
    <t>공용 복원 실패 메세지</t>
  </si>
  <si>
    <t>C_ON_RESTORE_FAIL_MSG</t>
  </si>
  <si>
    <t>상품 복원에 실패했습니다</t>
  </si>
  <si>
    <t>Failed to restore the product</t>
  </si>
  <si>
    <t>공용 테이블 로드 성공 메세지</t>
  </si>
  <si>
    <t>C_ON_TABLE_LOAD_MSG</t>
  </si>
  <si>
    <t>테이블을 로드했습니다</t>
  </si>
  <si>
    <t>You have successfully load table</t>
  </si>
  <si>
    <t>공용 테이블 로드 실패 메세지</t>
  </si>
  <si>
    <t>C_ON_TABLE_LOAD_FAIL_MSG</t>
  </si>
  <si>
    <t>테이블 로드에 실패했습니다</t>
  </si>
  <si>
    <t>You have failed to load table</t>
  </si>
  <si>
    <t>공용 A 세트 텍스트</t>
  </si>
  <si>
    <t>C_A_SET_TEXT</t>
  </si>
  <si>
    <t>A Set</t>
  </si>
  <si>
    <t>공용 B 세트 텍스트</t>
  </si>
  <si>
    <t>C_B_SET_TEXT</t>
  </si>
  <si>
    <t>B Set</t>
  </si>
  <si>
    <t>공용 확인 텍스트</t>
  </si>
  <si>
    <t>C_OK_TEXT</t>
  </si>
  <si>
    <t>확인</t>
  </si>
  <si>
    <t>OK</t>
  </si>
  <si>
    <t>공용 취소 텍스트</t>
  </si>
  <si>
    <t>C_CANCEL_TEXT</t>
  </si>
  <si>
    <t>취소</t>
  </si>
  <si>
    <t>Cancel</t>
  </si>
  <si>
    <t>공용 동의 텍스트</t>
  </si>
  <si>
    <t>C_AGREE_TEXT</t>
  </si>
  <si>
    <t>동의</t>
  </si>
  <si>
    <t>Agree</t>
  </si>
  <si>
    <t>공용 결과 텍스트</t>
  </si>
  <si>
    <t>C_RESULT_TEXT</t>
  </si>
  <si>
    <t>결과</t>
  </si>
  <si>
    <t>Result</t>
  </si>
  <si>
    <t>공용 획득 텍스트</t>
  </si>
  <si>
    <t>C_GET_TEXT</t>
  </si>
  <si>
    <t>획득</t>
  </si>
  <si>
    <t>Get</t>
  </si>
  <si>
    <t>공용 상점 텍스트</t>
  </si>
  <si>
    <t>C_STORE_TEXT</t>
  </si>
  <si>
    <t>상점</t>
  </si>
  <si>
    <t>Store</t>
  </si>
  <si>
    <t>공용 이벤트 텍스트</t>
  </si>
  <si>
    <t>C_EVENT_TEXT</t>
  </si>
  <si>
    <t>이벤트</t>
  </si>
  <si>
    <t>Event</t>
  </si>
  <si>
    <t>공용 다음 텍스트</t>
  </si>
  <si>
    <t>C_NEXT_TEXT</t>
  </si>
  <si>
    <t>다음</t>
  </si>
  <si>
    <t>Next</t>
  </si>
  <si>
    <t>공용 홈 텍스트</t>
  </si>
  <si>
    <t>C_HOME_TEXT</t>
  </si>
  <si>
    <t>홈</t>
  </si>
  <si>
    <t>Home</t>
  </si>
  <si>
    <t>공용 플레이 텍스트</t>
  </si>
  <si>
    <t>C_PLAY_TEXT</t>
  </si>
  <si>
    <t>플레이</t>
  </si>
  <si>
    <t>Play</t>
  </si>
  <si>
    <t>공용 재시도 텍스트</t>
  </si>
  <si>
    <t>C_RETRY_TEXT</t>
  </si>
  <si>
    <t>재시도</t>
  </si>
  <si>
    <t>Retry</t>
  </si>
  <si>
    <t>공용 나가기 텍스트</t>
  </si>
  <si>
    <t>C_LEAVE_TEXT</t>
  </si>
  <si>
    <t>나가기</t>
  </si>
  <si>
    <t>Leave</t>
  </si>
  <si>
    <t>공용 동기화 텍스트</t>
  </si>
  <si>
    <t>C_SYNC_TEXT</t>
  </si>
  <si>
    <t>동기화</t>
  </si>
  <si>
    <t>Sync</t>
  </si>
  <si>
    <t>공용 로그인 텍스트</t>
  </si>
  <si>
    <t>C_LOGIN_TEXT</t>
  </si>
  <si>
    <t>로그인</t>
  </si>
  <si>
    <t>Login</t>
  </si>
  <si>
    <t>공용 애플 로그인 텍스트</t>
  </si>
  <si>
    <t>C_APPLE_LOGIN_TEXT</t>
  </si>
  <si>
    <t>애플 로그인</t>
  </si>
  <si>
    <t>Sign in with Apple</t>
  </si>
  <si>
    <t>공용 페이스 북 로그인</t>
  </si>
  <si>
    <t>C_FACEBOOK_LOGIN_TEXT</t>
  </si>
  <si>
    <t>페이스 북 로그인</t>
  </si>
  <si>
    <t>Sign in with Facebook</t>
  </si>
  <si>
    <t>공용 로그아웃 텍스트</t>
  </si>
  <si>
    <t>C_LOGOUT_TEXT</t>
  </si>
  <si>
    <t>로그아웃</t>
  </si>
  <si>
    <t>Logout</t>
  </si>
  <si>
    <t>공용 연결 해제 텍스트</t>
  </si>
  <si>
    <t>C_DISCONNECT_TEXT</t>
  </si>
  <si>
    <t>연결 해제</t>
  </si>
  <si>
    <t>Disconnect</t>
  </si>
  <si>
    <t>공용 로드 텍스트</t>
  </si>
  <si>
    <t>C_LOAD_TEXT</t>
  </si>
  <si>
    <t>불러오기</t>
  </si>
  <si>
    <t>Load</t>
  </si>
  <si>
    <t>공용 저장 텍스트</t>
  </si>
  <si>
    <t>C_SAVE_TEXT</t>
  </si>
  <si>
    <t>저장하기</t>
  </si>
  <si>
    <t>Save</t>
  </si>
  <si>
    <t>공용 이어하기 텍스트</t>
  </si>
  <si>
    <t>C_CONTINUE_TEXT</t>
  </si>
  <si>
    <t>Continue</t>
  </si>
  <si>
    <t>공용 알림 텍스트</t>
  </si>
  <si>
    <t>C_NOTI_TEXT</t>
  </si>
  <si>
    <t>공용 평가 텍스트</t>
  </si>
  <si>
    <t>C_REVIEW_TEXT</t>
  </si>
  <si>
    <t>평가</t>
  </si>
  <si>
    <t>Review</t>
  </si>
  <si>
    <t>공용 지원 텍스트</t>
  </si>
  <si>
    <t>C_SUPPORTS_TEXT</t>
  </si>
  <si>
    <t>문의</t>
  </si>
  <si>
    <t>Supports</t>
  </si>
  <si>
    <t>공용 배경음 텍스트</t>
  </si>
  <si>
    <t>C_BG_SND_TEXT</t>
  </si>
  <si>
    <t>배경음</t>
  </si>
  <si>
    <t>BGM</t>
  </si>
  <si>
    <t>공용 효과음 텍스트</t>
  </si>
  <si>
    <t>C_FX_SNDS_TEXT</t>
  </si>
  <si>
    <t>효과음</t>
  </si>
  <si>
    <t>SFX</t>
  </si>
  <si>
    <t>공용 광고 시청 텍스트</t>
  </si>
  <si>
    <t>C_WATCH_ADS_TEXT</t>
  </si>
  <si>
    <t>광고 시청</t>
  </si>
  <si>
    <t>Watch Ads</t>
  </si>
  <si>
    <t>공용 광고 제거 텍스트</t>
  </si>
  <si>
    <t>C_REMOVE_ADS_TEXT</t>
  </si>
  <si>
    <t>Remove Ads</t>
  </si>
  <si>
    <t>공용 결제 복원 텍스트</t>
  </si>
  <si>
    <t>C_RESTORE_PAYMENT_TEXT</t>
  </si>
  <si>
    <t>결제 복원</t>
  </si>
  <si>
    <t>Restore Payment</t>
  </si>
  <si>
    <t>공용 레벨 텍스트</t>
  </si>
  <si>
    <t>C_LEVEL_TEXT</t>
  </si>
  <si>
    <t>Level</t>
  </si>
  <si>
    <t>공용 스테이지 텍스트</t>
  </si>
  <si>
    <t>C_STAGE_TEXT</t>
  </si>
  <si>
    <t>Stage</t>
  </si>
  <si>
    <t>공용 챕터 텍스트</t>
  </si>
  <si>
    <t>C_CHAPTER_TEXT</t>
  </si>
  <si>
    <t>Chapter</t>
  </si>
  <si>
    <t>공용 설정 텍스트</t>
  </si>
  <si>
    <t>C_SETTINGS_TEXT</t>
  </si>
  <si>
    <t>설정</t>
  </si>
  <si>
    <t>Settings</t>
  </si>
  <si>
    <t>공용 일일 미션 텍스트</t>
  </si>
  <si>
    <t>C_DAILY_MISSION_TEXT</t>
  </si>
  <si>
    <t>일일 미션</t>
  </si>
  <si>
    <t>Daily Mission</t>
  </si>
  <si>
    <t>공용 무료 보상 텍스트</t>
  </si>
  <si>
    <t>C_FREE_REWARD_TEXT</t>
  </si>
  <si>
    <t>무료 보상</t>
  </si>
  <si>
    <t>Free Reward</t>
  </si>
  <si>
    <t>공용 일일 보상 텍스트</t>
  </si>
  <si>
    <t>C_DAILY_REWARD_TEXT</t>
  </si>
  <si>
    <t>일일 보상</t>
  </si>
  <si>
    <t>Daily Reward</t>
  </si>
  <si>
    <t>공용 코인 상자 텍스트</t>
  </si>
  <si>
    <t>C_COINS_BOX_TEXT</t>
  </si>
  <si>
    <t>코인 상자</t>
  </si>
  <si>
    <t>Coins Box</t>
  </si>
  <si>
    <t>공용 재개 텍스트</t>
  </si>
  <si>
    <t>C_RESUME_TEXT</t>
  </si>
  <si>
    <t>다시하기</t>
  </si>
  <si>
    <t>Resume</t>
  </si>
  <si>
    <t>공용 정지 텍스트</t>
  </si>
  <si>
    <t>C_PAUSE_TEXT</t>
  </si>
  <si>
    <t>일시정지</t>
  </si>
  <si>
    <t>Pause</t>
  </si>
  <si>
    <t>공용 초보자 패키지 텍스트</t>
  </si>
  <si>
    <t>C_BEGINNER_PKGS_TEXT</t>
  </si>
  <si>
    <t>초보자 패키지</t>
  </si>
  <si>
    <t>Beginner Pack</t>
  </si>
  <si>
    <t>공용 숙련자 패키지 텍스트</t>
  </si>
  <si>
    <t>C_EXPERT_PKGS_TEXT</t>
  </si>
  <si>
    <t>전문가 패키지</t>
  </si>
  <si>
    <t>Expert Pack</t>
  </si>
  <si>
    <t>공용 프로 패키지 텍스트</t>
  </si>
  <si>
    <t>C_PRO_PKGS_TEXT</t>
  </si>
  <si>
    <t>프로 패키지</t>
  </si>
  <si>
    <t>Pro Pack</t>
  </si>
  <si>
    <t>공용 레벨 번호 텍스트 형식</t>
  </si>
  <si>
    <t>C_LEVEL_NUM_TEXT_FMT</t>
  </si>
  <si>
    <t>레벨 {0}</t>
  </si>
  <si>
    <t>Level {0}</t>
  </si>
  <si>
    <t>공용 스테이지 번호 텍스트 형식</t>
  </si>
  <si>
    <t>C_STAGE_NUM_TEXT_FMT</t>
  </si>
  <si>
    <t>스테이지 {0}</t>
  </si>
  <si>
    <t>Stage {0}</t>
  </si>
  <si>
    <t>공용 챕터 번호 텍스트 형식</t>
  </si>
  <si>
    <t>C_CHAPTER_NUM_TEXT_FMT</t>
  </si>
  <si>
    <t>챕터 {0}</t>
  </si>
  <si>
    <t>Chapter {0}</t>
  </si>
  <si>
    <t>공용 레벨 페이지 텍스트 형식</t>
  </si>
  <si>
    <t>C_LEVEL_PAGE_TEXT_FMT</t>
  </si>
  <si>
    <t>레벨 {0}/{1}</t>
  </si>
  <si>
    <t>Level {0}/{1}</t>
  </si>
  <si>
    <t>공용 스테이지 페이지 텍스트 형식</t>
  </si>
  <si>
    <t>C_STAGE_PAGE_TEXT_FMT</t>
  </si>
  <si>
    <t>스테이지 {0}/{1}</t>
  </si>
  <si>
    <t>Stage {0}/{1}</t>
  </si>
  <si>
    <t>공용 챕터 페이지 텍스트 형식</t>
  </si>
  <si>
    <t>C_CHAPTER_PAGE_TEXT_FMT</t>
  </si>
  <si>
    <t>챕터 {0}/{1}</t>
  </si>
  <si>
    <t>Chapter {0}/{1}</t>
  </si>
  <si>
    <t>에디터 종료 팝업 메세지</t>
  </si>
  <si>
    <t>EDITOR_QUIT_P_MSG</t>
  </si>
  <si>
    <t>에디터를 종료하시겠습니까?</t>
  </si>
  <si>
    <t>Do you want to quit the editor?</t>
  </si>
  <si>
    <t>에디터 리셋 팝업 메세지</t>
  </si>
  <si>
    <t>EDITOR_RESET_P_MSG</t>
  </si>
  <si>
    <t>에디터를 리셋하시겠습니까?</t>
  </si>
  <si>
    <t>Do you want to reset the editor?</t>
  </si>
  <si>
    <t>에디터 세트 A 팝업 메세지</t>
  </si>
  <si>
    <t>EDITOR_A_SET_P_MSG</t>
  </si>
  <si>
    <t>A 세트 를 설정하시겠습니까?</t>
  </si>
  <si>
    <t>Do you want to set up the A set?</t>
  </si>
  <si>
    <t>에디터 세트 B 팝업 메세지</t>
  </si>
  <si>
    <t>EDITOR_B_SET_P_MSG</t>
  </si>
  <si>
    <t>B 세트 를 설정하시겠습니까?</t>
  </si>
  <si>
    <t>Do you want to set up the B set?</t>
  </si>
  <si>
    <t>에디터 로컬 테이블 로드 메세지</t>
  </si>
  <si>
    <t>EDITOR_LOCAL_TLP_MSG</t>
  </si>
  <si>
    <t>로컬 테이블을 로드하시겠습니까?</t>
  </si>
  <si>
    <t>Do you want to load the local table?</t>
  </si>
  <si>
    <t>에디터 원격 테이블 로드 메세지</t>
  </si>
  <si>
    <t>EDITOR_REMOTE_TLP_MSG</t>
  </si>
  <si>
    <t>원격 테이블을 로드하시겠습니까?</t>
  </si>
  <si>
    <t>Do you want to load the remote table?</t>
  </si>
  <si>
    <t>에디터 레벨 제거 팝업 메세지</t>
  </si>
  <si>
    <t>EDITOR_REMOVE_LP_MSG</t>
  </si>
  <si>
    <t>레벨을 제거하시겠습니까?</t>
  </si>
  <si>
    <t>Do you want to remove the level?</t>
  </si>
  <si>
    <t>에디터 스테이지 제거 팝업 메세지</t>
  </si>
  <si>
    <t>EDITOR_REMOVE_SP_MSG</t>
  </si>
  <si>
    <t>스테이지를 제거하시겠습니까?</t>
  </si>
  <si>
    <t>Do you want to remove the stage?</t>
  </si>
  <si>
    <t>에디터 챕터 제거 팝업 메세지</t>
  </si>
  <si>
    <t>EDITOR_REMOVE_CP_MSG</t>
  </si>
  <si>
    <t>챕터를 제거하시겠습니까?</t>
  </si>
  <si>
    <t>Do you want to remove the chapter?</t>
  </si>
  <si>
    <t>NOEX_Description</t>
  </si>
  <si>
    <t>NOEX_T</t>
  </si>
  <si>
    <t>NOEX_ST</t>
  </si>
  <si>
    <t>NOEX_KT</t>
  </si>
  <si>
    <t>NOEX_SKT</t>
  </si>
  <si>
    <t>NOEX_DSKT</t>
  </si>
  <si>
    <t>Flags_01</t>
  </si>
  <si>
    <t>Flags_02</t>
  </si>
  <si>
    <t>Flags_03</t>
  </si>
  <si>
    <t>Name</t>
  </si>
  <si>
    <t>Desc</t>
  </si>
  <si>
    <t>CalcKinds</t>
  </si>
  <si>
    <t>PrevCalcKinds</t>
  </si>
  <si>
    <t>NextCalcKinds</t>
  </si>
  <si>
    <t>Calc</t>
  </si>
  <si>
    <t>어빌리티 수식 샘플</t>
  </si>
  <si>
    <t>TutorialKinds</t>
  </si>
  <si>
    <t>PrevTutorialKinds</t>
  </si>
  <si>
    <t>NextTutorialKinds</t>
  </si>
  <si>
    <t>RewardKinds_01</t>
  </si>
  <si>
    <t>Str_01</t>
  </si>
  <si>
    <t>플레이 튜토리얼 샘플</t>
  </si>
  <si>
    <t>도움말 튜토리얼 샘플</t>
  </si>
  <si>
    <t>FXKinds</t>
  </si>
  <si>
    <t>PrevFXKinds</t>
  </si>
  <si>
    <t>NextFXKinds</t>
  </si>
  <si>
    <t>TimeInfo</t>
  </si>
  <si>
    <t>ResKinds_01</t>
  </si>
  <si>
    <t>타격 효과 샘플</t>
  </si>
  <si>
    <t>버프 효과 샘플</t>
  </si>
  <si>
    <t>디버프 효과 샘플</t>
  </si>
  <si>
    <t>ID_01</t>
  </si>
  <si>
    <t>ID_02</t>
  </si>
  <si>
    <t>ID_03</t>
  </si>
  <si>
    <t>PrevID_01</t>
  </si>
  <si>
    <t>PrevID_02</t>
  </si>
  <si>
    <t>PrevID_03</t>
  </si>
  <si>
    <t>NextID_01</t>
  </si>
  <si>
    <t>NextID_02</t>
  </si>
  <si>
    <t>NextID_03</t>
  </si>
  <si>
    <t>Difficulty</t>
  </si>
  <si>
    <t>EpisodeKinds</t>
  </si>
  <si>
    <t>NumSubEpisodes</t>
  </si>
  <si>
    <t>MaxNumEnemyObjs</t>
  </si>
  <si>
    <t>Size</t>
  </si>
  <si>
    <t>RecordValInfo_01</t>
  </si>
  <si>
    <t>ClearTargetInfo_01</t>
  </si>
  <si>
    <t>UnlockTargetInfo_01</t>
  </si>
  <si>
    <t>DropItemTargetInfo_01</t>
  </si>
  <si>
    <t>EnemyObjTargetInfo_01</t>
  </si>
  <si>
    <t>레벨 1</t>
  </si>
  <si>
    <t>스테이지 1</t>
  </si>
  <si>
    <t>챕터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</si>
</sst>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434343"/>
        <bgColor rgb="FF43434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2" fontId="1" numFmtId="1" xfId="0" applyAlignment="1" applyFont="1" applyNumberFormat="1">
      <alignment horizontal="left" vertical="bottom"/>
    </xf>
    <xf borderId="0" fillId="0" fontId="2" numFmtId="0" xfId="0" applyAlignment="1" applyFont="1">
      <alignment readingOrder="0"/>
    </xf>
    <xf borderId="0" fillId="2" fontId="1" numFmtId="1" xfId="0" applyAlignment="1" applyFont="1" applyNumberFormat="1">
      <alignment horizontal="left" readingOrder="0" vertical="bottom"/>
    </xf>
    <xf borderId="0" fillId="2" fontId="1" numFmtId="1" xfId="0" applyAlignment="1" applyFont="1" applyNumberFormat="1">
      <alignment horizontal="right" readingOrder="0" vertical="bottom"/>
    </xf>
    <xf borderId="1" fillId="2" fontId="1" numFmtId="1" xfId="0" applyAlignment="1" applyBorder="1" applyFont="1" applyNumberFormat="1">
      <alignment horizontal="left" vertical="bottom"/>
    </xf>
    <xf borderId="1" fillId="2" fontId="1" numFmtId="1" xfId="0" applyAlignment="1" applyBorder="1" applyFont="1" applyNumberFormat="1">
      <alignment horizontal="right" vertical="bottom"/>
    </xf>
    <xf borderId="1" fillId="0" fontId="2" numFmtId="0" xfId="0" applyBorder="1" applyFont="1"/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left" vertical="bottom"/>
    </xf>
    <xf borderId="0" fillId="3" fontId="1" numFmtId="0" xfId="0" applyFont="1"/>
    <xf borderId="0" fillId="13" fontId="1" numFmtId="1" xfId="0" applyAlignment="1" applyFill="1" applyFont="1" applyNumberFormat="1">
      <alignment vertical="bottom"/>
    </xf>
    <xf borderId="0" fillId="13" fontId="1" numFmtId="1" xfId="0" applyAlignment="1" applyFont="1" applyNumberFormat="1">
      <alignment horizontal="right" vertical="bottom"/>
    </xf>
    <xf borderId="0" fillId="1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11.88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  <col customWidth="1" min="23" max="33" width="22.75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 t="s">
        <v>20</v>
      </c>
      <c r="N4" s="19">
        <v>100000.0</v>
      </c>
      <c r="O4" s="8" t="s">
        <v>21</v>
      </c>
      <c r="P4" s="20">
        <v>1.0E7</v>
      </c>
      <c r="Q4" s="9"/>
      <c r="R4" s="21"/>
      <c r="S4" s="10"/>
      <c r="T4" s="22"/>
      <c r="U4" s="11" t="s">
        <v>22</v>
      </c>
      <c r="V4" s="23">
        <v>1.0E7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23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24</v>
      </c>
      <c r="L5" s="18">
        <v>200.0</v>
      </c>
      <c r="M5" s="7"/>
      <c r="N5" s="7"/>
      <c r="O5" s="8" t="s">
        <v>25</v>
      </c>
      <c r="P5" s="20">
        <v>2.0E7</v>
      </c>
      <c r="Q5" s="9"/>
      <c r="R5" s="21"/>
      <c r="S5" s="10"/>
      <c r="T5" s="22"/>
      <c r="U5" s="11" t="s">
        <v>26</v>
      </c>
      <c r="V5" s="23">
        <v>2.0E7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" t="s">
        <v>27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28</v>
      </c>
      <c r="L6" s="18">
        <v>300.0</v>
      </c>
      <c r="M6" s="7" t="s">
        <v>29</v>
      </c>
      <c r="N6" s="19">
        <v>1.001E8</v>
      </c>
      <c r="O6" s="8"/>
      <c r="P6" s="20"/>
      <c r="Q6" s="9"/>
      <c r="R6" s="21"/>
      <c r="S6" s="10"/>
      <c r="T6" s="22"/>
      <c r="U6" s="11"/>
      <c r="V6" s="23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30</v>
      </c>
      <c r="L7" s="18">
        <v>400.0</v>
      </c>
      <c r="M7" s="7" t="s">
        <v>31</v>
      </c>
      <c r="N7" s="19">
        <v>1.001001E8</v>
      </c>
      <c r="O7" s="8"/>
      <c r="P7" s="20"/>
      <c r="Q7" s="9"/>
      <c r="R7" s="21"/>
      <c r="S7" s="10"/>
      <c r="T7" s="22"/>
      <c r="U7" s="11" t="s">
        <v>32</v>
      </c>
      <c r="V7" s="23">
        <v>100.0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" t="s">
        <v>33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 t="s">
        <v>34</v>
      </c>
      <c r="N8" s="19">
        <v>1.001002E8</v>
      </c>
      <c r="O8" s="8"/>
      <c r="P8" s="20"/>
      <c r="Q8" s="9"/>
      <c r="R8" s="21"/>
      <c r="S8" s="10"/>
      <c r="T8" s="22"/>
      <c r="U8" s="11" t="s">
        <v>35</v>
      </c>
      <c r="V8" s="23">
        <v>1.00001E7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36</v>
      </c>
      <c r="L9" s="18">
        <v>1.0E8</v>
      </c>
      <c r="M9" s="7"/>
      <c r="N9" s="19"/>
      <c r="O9" s="8"/>
      <c r="P9" s="20"/>
      <c r="Q9" s="9"/>
      <c r="R9" s="21"/>
      <c r="S9" s="10"/>
      <c r="T9" s="22"/>
      <c r="U9" s="11" t="s">
        <v>37</v>
      </c>
      <c r="V9" s="23">
        <v>2.00001E7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" t="s">
        <v>38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39</v>
      </c>
      <c r="L10" s="18">
        <v>1.000001E8</v>
      </c>
      <c r="M10" s="7" t="s">
        <v>40</v>
      </c>
      <c r="N10" s="19">
        <v>2.0E8</v>
      </c>
      <c r="O10" s="8"/>
      <c r="P10" s="20"/>
      <c r="Q10" s="9"/>
      <c r="R10" s="21"/>
      <c r="S10" s="10"/>
      <c r="T10" s="22"/>
      <c r="U10" s="11"/>
      <c r="V10" s="23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" t="s">
        <v>41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42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43</v>
      </c>
      <c r="V11" s="23">
        <v>200.0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44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45</v>
      </c>
      <c r="V12" s="23">
        <v>1.00002E7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" t="s">
        <v>46</v>
      </c>
      <c r="B13" s="13"/>
      <c r="C13" s="2"/>
      <c r="D13" s="14"/>
      <c r="E13" s="3"/>
      <c r="F13" s="15"/>
      <c r="G13" s="4"/>
      <c r="H13" s="16"/>
      <c r="I13" s="5"/>
      <c r="J13" s="17"/>
      <c r="K13" s="6" t="s">
        <v>47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48</v>
      </c>
      <c r="V13" s="23">
        <v>2.00002E7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" t="s">
        <v>12</v>
      </c>
      <c r="B14" s="13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" t="s">
        <v>49</v>
      </c>
      <c r="B15" s="13">
        <v>0.0</v>
      </c>
      <c r="C15" s="2"/>
      <c r="D15" s="14"/>
      <c r="E15" s="3"/>
      <c r="F15" s="15"/>
      <c r="G15" s="4"/>
      <c r="H15" s="16"/>
      <c r="I15" s="5"/>
      <c r="J15" s="17"/>
      <c r="K15" s="6" t="s">
        <v>50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51</v>
      </c>
      <c r="V15" s="23">
        <v>300.0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" t="s">
        <v>52</v>
      </c>
      <c r="B16" s="13">
        <v>1.0</v>
      </c>
      <c r="C16" s="2"/>
      <c r="D16" s="14"/>
      <c r="E16" s="3"/>
      <c r="F16" s="15"/>
      <c r="G16" s="4"/>
      <c r="H16" s="16"/>
      <c r="I16" s="5"/>
      <c r="J16" s="17"/>
      <c r="K16" s="6" t="s">
        <v>53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54</v>
      </c>
      <c r="V16" s="23">
        <v>1.00003E7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" t="s">
        <v>55</v>
      </c>
      <c r="B17" s="13">
        <v>2.0</v>
      </c>
      <c r="C17" s="2"/>
      <c r="D17" s="14"/>
      <c r="E17" s="3"/>
      <c r="F17" s="15"/>
      <c r="G17" s="4"/>
      <c r="H17" s="16"/>
      <c r="I17" s="5"/>
      <c r="J17" s="17"/>
      <c r="K17" s="6" t="s">
        <v>56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57</v>
      </c>
      <c r="V17" s="23">
        <v>2.00003E7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"/>
      <c r="B18" s="13"/>
      <c r="C18" s="2"/>
      <c r="D18" s="14"/>
      <c r="E18" s="3"/>
      <c r="F18" s="15"/>
      <c r="G18" s="4"/>
      <c r="H18" s="16"/>
      <c r="I18" s="5"/>
      <c r="J18" s="17"/>
      <c r="K18" s="6" t="s">
        <v>58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/>
      <c r="V18" s="23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" t="s">
        <v>59</v>
      </c>
      <c r="B19" s="13"/>
      <c r="C19" s="2"/>
      <c r="D19" s="14"/>
      <c r="E19" s="3"/>
      <c r="F19" s="15"/>
      <c r="G19" s="4"/>
      <c r="H19" s="16"/>
      <c r="I19" s="5"/>
      <c r="J19" s="17"/>
      <c r="K19" s="6" t="s">
        <v>60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61</v>
      </c>
      <c r="V19" s="23">
        <v>100000.0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" t="s">
        <v>12</v>
      </c>
      <c r="B20" s="13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62</v>
      </c>
      <c r="V20" s="23">
        <v>100001.0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t="15.75" customHeight="1">
      <c r="A21" s="1" t="s">
        <v>14</v>
      </c>
      <c r="B21" s="13">
        <v>0.0</v>
      </c>
      <c r="C21" s="2"/>
      <c r="D21" s="14"/>
      <c r="E21" s="3"/>
      <c r="F21" s="15"/>
      <c r="G21" s="4"/>
      <c r="H21" s="16"/>
      <c r="I21" s="5"/>
      <c r="J21" s="17"/>
      <c r="K21" s="6" t="s">
        <v>63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64</v>
      </c>
      <c r="V21" s="23">
        <v>1.01E7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ht="15.75" customHeight="1">
      <c r="A22" s="1" t="s">
        <v>36</v>
      </c>
      <c r="B22" s="13">
        <v>1.0</v>
      </c>
      <c r="C22" s="2"/>
      <c r="D22" s="14"/>
      <c r="E22" s="3"/>
      <c r="F22" s="15"/>
      <c r="G22" s="4"/>
      <c r="H22" s="16"/>
      <c r="I22" s="5"/>
      <c r="J22" s="17"/>
      <c r="K22" s="6" t="s">
        <v>65</v>
      </c>
      <c r="L22" s="18">
        <v>3.000001E8</v>
      </c>
      <c r="M22" s="7"/>
      <c r="N22" s="19"/>
      <c r="O22" s="8"/>
      <c r="P22" s="20"/>
      <c r="Q22" s="9"/>
      <c r="R22" s="21"/>
      <c r="S22" s="10"/>
      <c r="T22" s="22"/>
      <c r="U22" s="11" t="s">
        <v>66</v>
      </c>
      <c r="V22" s="23">
        <v>2.01E7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ht="15.75" customHeight="1">
      <c r="A23" s="1" t="s">
        <v>50</v>
      </c>
      <c r="B23" s="13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ht="15.75" customHeight="1">
      <c r="A24" s="1" t="s">
        <v>63</v>
      </c>
      <c r="B24" s="13">
        <v>3.0</v>
      </c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67</v>
      </c>
      <c r="V24" s="23">
        <v>100100.0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ht="15.75" customHeight="1">
      <c r="A25" s="12"/>
      <c r="B25" s="12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68</v>
      </c>
      <c r="V25" s="23">
        <v>100101.0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ht="15.75" customHeight="1">
      <c r="A26" s="1" t="s">
        <v>69</v>
      </c>
      <c r="B26" s="13"/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70</v>
      </c>
      <c r="V26" s="23">
        <v>1.01001E7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ht="15.75" customHeight="1">
      <c r="A27" s="1" t="s">
        <v>12</v>
      </c>
      <c r="B27" s="13">
        <v>-1.0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71</v>
      </c>
      <c r="V27" s="23">
        <v>2.01001E7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ht="15.75" customHeight="1">
      <c r="A28" s="1" t="s">
        <v>72</v>
      </c>
      <c r="B28" s="13">
        <v>0.0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/>
      <c r="V28" s="23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ht="15.75" customHeight="1">
      <c r="A29" s="1" t="s">
        <v>73</v>
      </c>
      <c r="B29" s="13">
        <v>1.0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74</v>
      </c>
      <c r="V29" s="23">
        <v>100200.0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ht="15.75" customHeight="1">
      <c r="A30" s="1" t="s">
        <v>75</v>
      </c>
      <c r="B30" s="13">
        <v>2.0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 t="s">
        <v>76</v>
      </c>
      <c r="V30" s="23">
        <v>100201.0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ht="15.75" customHeight="1">
      <c r="A31" s="1"/>
      <c r="B31" s="13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77</v>
      </c>
      <c r="V31" s="23">
        <v>1.01002E7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ht="15.75" customHeight="1">
      <c r="A32" s="12" t="s">
        <v>78</v>
      </c>
      <c r="B32" s="12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79</v>
      </c>
      <c r="V32" s="23">
        <v>2.01002E7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ht="15.75" customHeight="1">
      <c r="A33" s="12" t="s">
        <v>17</v>
      </c>
      <c r="B33" s="12" t="s">
        <v>80</v>
      </c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/>
      <c r="V33" s="23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ht="15.75" customHeight="1">
      <c r="A34" s="12" t="s">
        <v>81</v>
      </c>
      <c r="B34" s="12" t="s">
        <v>82</v>
      </c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83</v>
      </c>
      <c r="V34" s="23">
        <v>200000.0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ht="15.75" customHeight="1">
      <c r="A35" s="12" t="s">
        <v>84</v>
      </c>
      <c r="B35" s="12" t="s">
        <v>85</v>
      </c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86</v>
      </c>
      <c r="V35" s="23">
        <v>200001.0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ht="15.75" customHeight="1">
      <c r="A36" s="12"/>
      <c r="B36" s="12"/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87</v>
      </c>
      <c r="V36" s="23">
        <v>1.02E7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ht="15.75" customHeight="1">
      <c r="A37" s="12" t="s">
        <v>88</v>
      </c>
      <c r="B37" s="12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 t="s">
        <v>89</v>
      </c>
      <c r="V37" s="23">
        <v>2.02E7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ht="15.75" customHeight="1">
      <c r="A38" s="12" t="s">
        <v>12</v>
      </c>
      <c r="B38" s="24">
        <v>-1.0</v>
      </c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/>
      <c r="V38" s="23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ht="15.75" customHeight="1">
      <c r="A39" s="12" t="s">
        <v>90</v>
      </c>
      <c r="B39" s="24">
        <v>0.0</v>
      </c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91</v>
      </c>
      <c r="V39" s="23">
        <v>200100.0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ht="15.75" customHeight="1">
      <c r="A40" s="1" t="s">
        <v>92</v>
      </c>
      <c r="B40" s="13">
        <v>100000.0</v>
      </c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93</v>
      </c>
      <c r="V40" s="23">
        <v>200101.0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ht="15.75" customHeight="1">
      <c r="A41" s="1"/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94</v>
      </c>
      <c r="V41" s="23">
        <v>1.02001E7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ht="15.75" customHeight="1">
      <c r="A42" s="1" t="s">
        <v>95</v>
      </c>
      <c r="B42" s="13">
        <v>1.0E8</v>
      </c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96</v>
      </c>
      <c r="V42" s="23">
        <v>2.02001E7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ht="15.75" customHeight="1">
      <c r="A43" s="1" t="s">
        <v>97</v>
      </c>
      <c r="B43" s="13">
        <v>1.001E8</v>
      </c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/>
      <c r="V43" s="23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ht="15.75" customHeight="1"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 t="s">
        <v>98</v>
      </c>
      <c r="V44" s="23">
        <v>200200.0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ht="15.75" customHeight="1">
      <c r="A45" s="1" t="s">
        <v>99</v>
      </c>
      <c r="B45" s="13">
        <v>2.0E8</v>
      </c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100</v>
      </c>
      <c r="V45" s="23">
        <v>200201.0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ht="15.75" customHeight="1">
      <c r="A46" s="25" t="s">
        <v>101</v>
      </c>
      <c r="B46" s="13">
        <v>2.001E8</v>
      </c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102</v>
      </c>
      <c r="V46" s="23">
        <v>1.02002E7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ht="15.75" customHeight="1"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103</v>
      </c>
      <c r="V47" s="23">
        <v>2.02002E7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ht="15.75" customHeight="1">
      <c r="A48" s="1" t="s">
        <v>104</v>
      </c>
      <c r="B48" s="13"/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/>
      <c r="V48" s="23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ht="15.75" customHeight="1">
      <c r="A49" s="1" t="s">
        <v>12</v>
      </c>
      <c r="B49" s="13">
        <v>-1.0</v>
      </c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105</v>
      </c>
      <c r="V49" s="23">
        <v>200300.0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ht="15.75" customHeight="1">
      <c r="A50" s="1" t="s">
        <v>106</v>
      </c>
      <c r="B50" s="13">
        <v>0.0</v>
      </c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107</v>
      </c>
      <c r="V50" s="23">
        <v>200301.0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ht="15.75" customHeight="1">
      <c r="A51" s="1" t="s">
        <v>108</v>
      </c>
      <c r="B51" s="13">
        <v>1.0</v>
      </c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 t="s">
        <v>109</v>
      </c>
      <c r="V51" s="23">
        <v>1.02003E7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ht="15.75" customHeight="1">
      <c r="A52" s="1" t="s">
        <v>110</v>
      </c>
      <c r="B52" s="13">
        <v>2.0</v>
      </c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111</v>
      </c>
      <c r="V52" s="23">
        <v>2.02003E7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ht="15.75" customHeight="1">
      <c r="A53" s="1" t="s">
        <v>112</v>
      </c>
      <c r="B53" s="13">
        <v>3.0</v>
      </c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/>
      <c r="V53" s="23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ht="15.75" customHeight="1">
      <c r="A54" s="1" t="s">
        <v>113</v>
      </c>
      <c r="B54" s="13">
        <v>4.0</v>
      </c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114</v>
      </c>
      <c r="V54" s="23">
        <v>300000.0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ht="15.75" customHeight="1">
      <c r="A55" s="1" t="s">
        <v>115</v>
      </c>
      <c r="B55" s="13">
        <v>5.0</v>
      </c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116</v>
      </c>
      <c r="V55" s="23">
        <v>300001.0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ht="15.75" customHeight="1"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 t="s">
        <v>117</v>
      </c>
      <c r="V56" s="23">
        <v>1.03E7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ht="15.75" customHeight="1"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118</v>
      </c>
      <c r="V57" s="23">
        <v>2.03E7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ht="15.75" customHeight="1"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/>
      <c r="V58" s="11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ht="15.75" customHeight="1"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119</v>
      </c>
      <c r="V59" s="23">
        <v>300100.0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ht="15.75" customHeight="1"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 t="s">
        <v>120</v>
      </c>
      <c r="V60" s="23">
        <v>300101.0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ht="15.75" customHeight="1"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121</v>
      </c>
      <c r="V61" s="23">
        <v>1.03001E7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ht="15.75" customHeight="1"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122</v>
      </c>
      <c r="V62" s="23">
        <v>2.03001E7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ht="15.75" customHeight="1"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/>
      <c r="V63" s="23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ht="15.75" customHeight="1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 t="s">
        <v>123</v>
      </c>
      <c r="V64" s="23">
        <v>300200.0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ht="15.75" customHeight="1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 t="s">
        <v>124</v>
      </c>
      <c r="V65" s="23">
        <v>300201.0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ht="15.75" customHeight="1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 t="s">
        <v>125</v>
      </c>
      <c r="V66" s="23">
        <v>1.03002E7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ht="15.75" customHeight="1">
      <c r="A67" s="1"/>
      <c r="B67" s="13"/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 t="s">
        <v>126</v>
      </c>
      <c r="V67" s="23">
        <v>2.03002E7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ht="15.75" customHeight="1">
      <c r="A68" s="1"/>
      <c r="B68" s="13"/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/>
      <c r="V68" s="23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ht="15.75" customHeight="1">
      <c r="A69" s="1"/>
      <c r="B69" s="13"/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 t="s">
        <v>127</v>
      </c>
      <c r="V69" s="23">
        <v>400000.0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ht="15.75" customHeight="1">
      <c r="A70" s="1"/>
      <c r="B70" s="13"/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 t="s">
        <v>128</v>
      </c>
      <c r="V70" s="23">
        <v>400001.0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ht="15.75" customHeight="1">
      <c r="A71" s="1"/>
      <c r="B71" s="13"/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 t="s">
        <v>129</v>
      </c>
      <c r="V71" s="23">
        <v>1.04E7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ht="15.75" customHeight="1">
      <c r="A72" s="1"/>
      <c r="B72" s="13"/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 t="s">
        <v>130</v>
      </c>
      <c r="V72" s="23">
        <v>2.04E7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ht="15.75" customHeight="1">
      <c r="A73" s="1"/>
      <c r="B73" s="13"/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/>
      <c r="V73" s="23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ht="15.75" customHeight="1">
      <c r="A74" s="1"/>
      <c r="B74" s="13"/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 t="s">
        <v>131</v>
      </c>
      <c r="V74" s="23">
        <v>400100.0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ht="15.75" customHeight="1">
      <c r="A75" s="1"/>
      <c r="B75" s="13"/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 t="s">
        <v>132</v>
      </c>
      <c r="V75" s="23">
        <v>400101.0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ht="15.75" customHeight="1">
      <c r="A76" s="1"/>
      <c r="B76" s="13"/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 t="s">
        <v>133</v>
      </c>
      <c r="V76" s="23">
        <v>1.04001E7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ht="15.75" customHeight="1">
      <c r="A77" s="1"/>
      <c r="B77" s="13"/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 t="s">
        <v>134</v>
      </c>
      <c r="V77" s="23">
        <v>2.04001E7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ht="15.75" customHeight="1">
      <c r="A78" s="1"/>
      <c r="B78" s="13"/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/>
      <c r="V78" s="23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ht="15.75" customHeight="1">
      <c r="A79" s="1"/>
      <c r="B79" s="13"/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 t="s">
        <v>135</v>
      </c>
      <c r="V79" s="23">
        <v>400200.0</v>
      </c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ht="15.75" customHeight="1">
      <c r="A80" s="1"/>
      <c r="B80" s="13"/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 t="s">
        <v>136</v>
      </c>
      <c r="V80" s="23">
        <v>400201.0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ht="15.75" customHeight="1">
      <c r="A81" s="1"/>
      <c r="B81" s="13"/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 t="s">
        <v>137</v>
      </c>
      <c r="V81" s="23">
        <v>1.04002E7</v>
      </c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ht="15.75" customHeight="1">
      <c r="A82" s="1"/>
      <c r="B82" s="13"/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 t="s">
        <v>138</v>
      </c>
      <c r="V82" s="23">
        <v>2.04002E7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ht="15.75" customHeight="1">
      <c r="A83" s="1"/>
      <c r="B83" s="13"/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/>
      <c r="V83" s="23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ht="15.75" customHeight="1">
      <c r="A84" s="1"/>
      <c r="B84" s="13"/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 t="s">
        <v>139</v>
      </c>
      <c r="V84" s="23">
        <v>500000.0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ht="15.75" customHeight="1">
      <c r="A85" s="1"/>
      <c r="B85" s="13"/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 t="s">
        <v>140</v>
      </c>
      <c r="V85" s="23">
        <v>500001.0</v>
      </c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ht="15.75" customHeight="1">
      <c r="A86" s="1"/>
      <c r="B86" s="13"/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 t="s">
        <v>141</v>
      </c>
      <c r="V86" s="23">
        <v>1.05E7</v>
      </c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ht="15.75" customHeight="1">
      <c r="A87" s="1"/>
      <c r="B87" s="13"/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 t="s">
        <v>142</v>
      </c>
      <c r="V87" s="23">
        <v>2.05E7</v>
      </c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ht="15.75" customHeight="1">
      <c r="A88" s="1"/>
      <c r="B88" s="13"/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/>
      <c r="V88" s="23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ht="15.75" customHeight="1">
      <c r="A89" s="1"/>
      <c r="B89" s="13"/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 t="s">
        <v>143</v>
      </c>
      <c r="V89" s="23">
        <v>500100.0</v>
      </c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ht="15.75" customHeight="1">
      <c r="A90" s="1"/>
      <c r="B90" s="13"/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 t="s">
        <v>144</v>
      </c>
      <c r="V90" s="23">
        <v>500101.0</v>
      </c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ht="15.75" customHeight="1">
      <c r="A91" s="1"/>
      <c r="B91" s="13"/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 t="s">
        <v>145</v>
      </c>
      <c r="V91" s="23">
        <v>1.05001E7</v>
      </c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ht="15.75" customHeight="1">
      <c r="A92" s="1"/>
      <c r="B92" s="13"/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 t="s">
        <v>146</v>
      </c>
      <c r="V92" s="23">
        <v>2.05001E7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ht="15.75" customHeight="1">
      <c r="A93" s="1"/>
      <c r="B93" s="13"/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/>
      <c r="V93" s="23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ht="15.75" customHeight="1">
      <c r="A94" s="1"/>
      <c r="B94" s="13"/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 t="s">
        <v>147</v>
      </c>
      <c r="V94" s="23">
        <v>500200.0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ht="15.75" customHeight="1">
      <c r="A95" s="1"/>
      <c r="B95" s="13"/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 t="s">
        <v>148</v>
      </c>
      <c r="V95" s="23">
        <v>500201.0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ht="15.75" customHeight="1">
      <c r="A96" s="1"/>
      <c r="B96" s="13"/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 t="s">
        <v>149</v>
      </c>
      <c r="V96" s="23">
        <v>1.05002E7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ht="15.75" customHeight="1">
      <c r="A97" s="1"/>
      <c r="B97" s="13"/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 t="s">
        <v>150</v>
      </c>
      <c r="V97" s="23">
        <v>2.05002E7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ht="15.75" customHeight="1">
      <c r="A98" s="1"/>
      <c r="B98" s="13"/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/>
      <c r="V98" s="23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ht="15.75" customHeight="1">
      <c r="A99" s="1"/>
      <c r="B99" s="13"/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 t="s">
        <v>151</v>
      </c>
      <c r="V99" s="23">
        <v>600000.0</v>
      </c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ht="15.75" customHeight="1">
      <c r="A100" s="1"/>
      <c r="B100" s="13"/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 t="s">
        <v>152</v>
      </c>
      <c r="V100" s="23">
        <v>600001.0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ht="15.75" customHeight="1">
      <c r="A101" s="1"/>
      <c r="B101" s="13"/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 t="s">
        <v>153</v>
      </c>
      <c r="V101" s="23">
        <v>1.06E7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ht="15.75" customHeight="1">
      <c r="A102" s="1"/>
      <c r="B102" s="13"/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 t="s">
        <v>154</v>
      </c>
      <c r="V102" s="23">
        <v>2.06E7</v>
      </c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ht="15.75" customHeight="1">
      <c r="A103" s="1"/>
      <c r="B103" s="13"/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/>
      <c r="V103" s="23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ht="15.75" customHeight="1">
      <c r="A104" s="1"/>
      <c r="B104" s="13"/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 t="s">
        <v>155</v>
      </c>
      <c r="V104" s="23">
        <v>600100.0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ht="15.75" customHeight="1">
      <c r="A105" s="1"/>
      <c r="B105" s="13"/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 t="s">
        <v>156</v>
      </c>
      <c r="V105" s="23">
        <v>600101.0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ht="15.75" customHeight="1">
      <c r="A106" s="1"/>
      <c r="B106" s="13"/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 t="s">
        <v>157</v>
      </c>
      <c r="V106" s="23">
        <v>1.06001E7</v>
      </c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ht="15.75" customHeight="1">
      <c r="A107" s="1"/>
      <c r="B107" s="13"/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 t="s">
        <v>158</v>
      </c>
      <c r="V107" s="23">
        <v>2.06001E7</v>
      </c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ht="15.75" customHeight="1">
      <c r="A108" s="1"/>
      <c r="B108" s="13"/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/>
      <c r="V108" s="23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ht="15.75" customHeight="1">
      <c r="A109" s="1"/>
      <c r="B109" s="13"/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 t="s">
        <v>159</v>
      </c>
      <c r="V109" s="23">
        <v>600200.0</v>
      </c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ht="15.75" customHeight="1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 t="s">
        <v>160</v>
      </c>
      <c r="V110" s="23">
        <v>600201.0</v>
      </c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5.75" customHeight="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 t="s">
        <v>161</v>
      </c>
      <c r="V111" s="23">
        <v>1.06002E7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ht="15.75" customHeight="1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 t="s">
        <v>162</v>
      </c>
      <c r="V112" s="23">
        <v>2.06002E7</v>
      </c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ht="15.75" customHeight="1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/>
      <c r="V113" s="23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ht="15.75" customHeight="1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 t="s">
        <v>163</v>
      </c>
      <c r="V114" s="23">
        <v>700000.0</v>
      </c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ht="15.75" customHeight="1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 t="s">
        <v>164</v>
      </c>
      <c r="V115" s="23">
        <v>700001.0</v>
      </c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ht="15.75" customHeight="1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 t="s">
        <v>165</v>
      </c>
      <c r="V116" s="23">
        <v>1.07E7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ht="15.75" customHeight="1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 t="s">
        <v>166</v>
      </c>
      <c r="V117" s="23">
        <v>2.07E7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ht="15.75" customHeight="1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/>
      <c r="V118" s="23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ht="15.75" customHeight="1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 t="s">
        <v>167</v>
      </c>
      <c r="V119" s="23">
        <v>700100.0</v>
      </c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ht="15.75" customHeight="1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 t="s">
        <v>168</v>
      </c>
      <c r="V120" s="23">
        <v>700101.0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ht="15.75" customHeight="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 t="s">
        <v>169</v>
      </c>
      <c r="V121" s="23">
        <v>1.07001E7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ht="15.75" customHeight="1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 t="s">
        <v>170</v>
      </c>
      <c r="V122" s="23">
        <v>2.07001E7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ht="15.75" customHeight="1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/>
      <c r="V123" s="23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ht="15.75" customHeight="1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 t="s">
        <v>171</v>
      </c>
      <c r="V124" s="23">
        <v>700200.0</v>
      </c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ht="15.75" customHeight="1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 t="s">
        <v>172</v>
      </c>
      <c r="V125" s="23">
        <v>700201.0</v>
      </c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ht="15.75" customHeight="1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 t="s">
        <v>173</v>
      </c>
      <c r="V126" s="23">
        <v>1.07002E7</v>
      </c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ht="15.75" customHeight="1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 t="s">
        <v>174</v>
      </c>
      <c r="V127" s="23">
        <v>2.07002E7</v>
      </c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ht="15.75" customHeight="1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ht="15.75" customHeight="1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 t="s">
        <v>175</v>
      </c>
      <c r="V129" s="23">
        <v>800000.0</v>
      </c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ht="15.75" customHeight="1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 t="s">
        <v>176</v>
      </c>
      <c r="V130" s="23">
        <v>800001.0</v>
      </c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ht="15.75" customHeight="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 t="s">
        <v>177</v>
      </c>
      <c r="V131" s="23">
        <v>1.08E7</v>
      </c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ht="15.75" customHeight="1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 t="s">
        <v>178</v>
      </c>
      <c r="V132" s="23">
        <v>2.08E7</v>
      </c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ht="15.75" customHeight="1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/>
      <c r="V133" s="23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ht="15.75" customHeight="1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 t="s">
        <v>179</v>
      </c>
      <c r="V134" s="23">
        <v>800100.0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ht="15.75" customHeight="1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 t="s">
        <v>180</v>
      </c>
      <c r="V135" s="23">
        <v>800101.0</v>
      </c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ht="15.75" customHeight="1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 t="s">
        <v>181</v>
      </c>
      <c r="V136" s="23">
        <v>1.08001E7</v>
      </c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ht="15.75" customHeight="1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 t="s">
        <v>182</v>
      </c>
      <c r="V137" s="23">
        <v>2.08001E7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ht="15.75" customHeight="1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/>
      <c r="V138" s="23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ht="15.75" customHeight="1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 t="s">
        <v>183</v>
      </c>
      <c r="V139" s="23">
        <v>800200.0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ht="15.75" customHeight="1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 t="s">
        <v>184</v>
      </c>
      <c r="V140" s="23">
        <v>800201.0</v>
      </c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ht="15.75" customHeight="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 t="s">
        <v>185</v>
      </c>
      <c r="V141" s="23">
        <v>1.08002E7</v>
      </c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ht="15.75" customHeight="1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 t="s">
        <v>186</v>
      </c>
      <c r="V142" s="23">
        <v>2.08002E7</v>
      </c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ht="15.75" customHeight="1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/>
      <c r="V143" s="23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ht="15.75" customHeight="1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 t="s">
        <v>187</v>
      </c>
      <c r="V144" s="23">
        <v>800300.0</v>
      </c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ht="15.75" customHeight="1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 t="s">
        <v>188</v>
      </c>
      <c r="V145" s="23">
        <v>800301.0</v>
      </c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ht="15.75" customHeight="1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 t="s">
        <v>189</v>
      </c>
      <c r="V146" s="23">
        <v>1.08003E7</v>
      </c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ht="15.75" customHeight="1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 t="s">
        <v>190</v>
      </c>
      <c r="V147" s="23">
        <v>2.08003E7</v>
      </c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ht="15.75" customHeight="1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ht="15.75" customHeight="1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ht="15.75" customHeight="1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ht="15.75" customHeight="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ht="15.75" customHeight="1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ht="15.75" customHeight="1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ht="15.75" customHeight="1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ht="15.75" customHeight="1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ht="15.75" customHeight="1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ht="15.75" customHeight="1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ht="15.75" customHeight="1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ht="15.75" customHeight="1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ht="15.75" customHeight="1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ht="15.75" customHeight="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ht="15.75" customHeight="1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ht="15.75" customHeight="1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ht="15.75" customHeight="1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ht="15.75" customHeight="1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ht="15.75" customHeight="1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ht="15.75" customHeight="1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ht="15.75" customHeight="1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ht="15.75" customHeight="1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ht="15.75" customHeight="1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ht="15.75" customHeight="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ht="15.75" customHeight="1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ht="15.75" customHeight="1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ht="15.75" customHeight="1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ht="15.75" customHeight="1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ht="15.75" customHeight="1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ht="15.75" customHeight="1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ht="15.75" customHeight="1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ht="15.75" customHeight="1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ht="15.75" customHeight="1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ht="15.75" customHeight="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ht="15.75" customHeight="1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ht="15.75" customHeight="1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ht="15.75" customHeight="1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ht="15.75" customHeight="1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ht="15.75" customHeight="1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ht="15.75" customHeight="1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ht="15.75" customHeight="1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ht="15.75" customHeight="1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ht="15.75" customHeight="1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ht="15.75" customHeight="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ht="15.75" customHeight="1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ht="15.75" customHeight="1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ht="15.75" customHeight="1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ht="15.75" customHeight="1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ht="15.75" customHeight="1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ht="15.75" customHeight="1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ht="15.75" customHeight="1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ht="15.75" customHeight="1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ht="15.75" customHeight="1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ht="15.75" customHeight="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ht="15.75" customHeight="1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ht="15.75" customHeight="1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ht="15.75" customHeight="1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ht="15.75" customHeight="1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ht="15.75" customHeight="1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ht="15.75" customHeight="1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ht="15.75" customHeight="1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ht="15.75" customHeight="1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ht="15.75" customHeight="1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ht="15.75" customHeight="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ht="15.75" customHeight="1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ht="15.75" customHeight="1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ht="15.75" customHeight="1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ht="15.75" customHeight="1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ht="15.75" customHeight="1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ht="15.75" customHeight="1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ht="15.75" customHeight="1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ht="15.75" customHeight="1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ht="15.75" customHeight="1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ht="15.75" customHeight="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ht="15.75" customHeight="1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ht="15.75" customHeight="1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ht="15.75" customHeight="1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ht="15.75" customHeight="1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ht="15.75" customHeight="1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ht="15.75" customHeight="1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ht="15.75" customHeight="1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ht="15.75" customHeight="1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ht="15.75" customHeight="1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ht="15.75" customHeight="1">
      <c r="A231" s="1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7"/>
      <c r="N231" s="7"/>
      <c r="O231" s="12"/>
      <c r="P231" s="12"/>
      <c r="Q231" s="12"/>
      <c r="R231" s="12"/>
      <c r="S231" s="12"/>
      <c r="T231" s="12"/>
      <c r="U231" s="11"/>
      <c r="V231" s="23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ht="15.75" customHeight="1">
      <c r="A232" s="1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7"/>
      <c r="N232" s="7"/>
      <c r="O232" s="12"/>
      <c r="P232" s="12"/>
      <c r="Q232" s="12"/>
      <c r="R232" s="12"/>
      <c r="S232" s="12"/>
      <c r="T232" s="12"/>
      <c r="U232" s="11"/>
      <c r="V232" s="23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ht="15.75" customHeight="1">
      <c r="A233" s="1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7"/>
      <c r="N233" s="7"/>
      <c r="O233" s="12"/>
      <c r="P233" s="12"/>
      <c r="Q233" s="12"/>
      <c r="R233" s="12"/>
      <c r="S233" s="12"/>
      <c r="T233" s="12"/>
      <c r="U233" s="11"/>
      <c r="V233" s="23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ht="15.75" customHeight="1">
      <c r="A234" s="1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7"/>
      <c r="N234" s="7"/>
      <c r="O234" s="12"/>
      <c r="P234" s="12"/>
      <c r="Q234" s="12"/>
      <c r="R234" s="12"/>
      <c r="S234" s="12"/>
      <c r="T234" s="12"/>
      <c r="U234" s="11"/>
      <c r="V234" s="23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ht="15.75" customHeight="1">
      <c r="A235" s="1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7"/>
      <c r="N235" s="7"/>
      <c r="O235" s="12"/>
      <c r="P235" s="12"/>
      <c r="Q235" s="12"/>
      <c r="R235" s="12"/>
      <c r="S235" s="12"/>
      <c r="T235" s="12"/>
      <c r="U235" s="11"/>
      <c r="V235" s="23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ht="15.75" customHeight="1">
      <c r="A236" s="1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7"/>
      <c r="N236" s="7"/>
      <c r="O236" s="12"/>
      <c r="P236" s="12"/>
      <c r="Q236" s="12"/>
      <c r="R236" s="12"/>
      <c r="S236" s="12"/>
      <c r="T236" s="12"/>
      <c r="U236" s="11"/>
      <c r="V236" s="23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ht="15.75" customHeight="1">
      <c r="A237" s="1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7"/>
      <c r="N237" s="7"/>
      <c r="O237" s="12"/>
      <c r="P237" s="12"/>
      <c r="Q237" s="12"/>
      <c r="R237" s="12"/>
      <c r="S237" s="12"/>
      <c r="T237" s="12"/>
      <c r="U237" s="11"/>
      <c r="V237" s="23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ht="15.75" customHeight="1">
      <c r="A238" s="1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7"/>
      <c r="N238" s="7"/>
      <c r="O238" s="12"/>
      <c r="P238" s="12"/>
      <c r="Q238" s="12"/>
      <c r="R238" s="12"/>
      <c r="S238" s="12"/>
      <c r="T238" s="12"/>
      <c r="U238" s="11"/>
      <c r="V238" s="23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ht="15.75" customHeight="1">
      <c r="A239" s="1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7"/>
      <c r="N239" s="7"/>
      <c r="O239" s="12"/>
      <c r="P239" s="12"/>
      <c r="Q239" s="12"/>
      <c r="R239" s="12"/>
      <c r="S239" s="12"/>
      <c r="T239" s="12"/>
      <c r="U239" s="11"/>
      <c r="V239" s="23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ht="15.75" customHeight="1">
      <c r="A240" s="1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7"/>
      <c r="N240" s="7"/>
      <c r="O240" s="12"/>
      <c r="P240" s="12"/>
      <c r="Q240" s="12"/>
      <c r="R240" s="12"/>
      <c r="S240" s="12"/>
      <c r="T240" s="12"/>
      <c r="U240" s="11"/>
      <c r="V240" s="23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ht="15.75" customHeight="1">
      <c r="A241" s="1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7"/>
      <c r="N241" s="7"/>
      <c r="O241" s="12"/>
      <c r="P241" s="12"/>
      <c r="Q241" s="12"/>
      <c r="R241" s="12"/>
      <c r="S241" s="12"/>
      <c r="T241" s="12"/>
      <c r="U241" s="11"/>
      <c r="V241" s="23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ht="15.75" customHeight="1">
      <c r="A242" s="1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7"/>
      <c r="N242" s="7"/>
      <c r="O242" s="12"/>
      <c r="P242" s="12"/>
      <c r="Q242" s="12"/>
      <c r="R242" s="12"/>
      <c r="S242" s="12"/>
      <c r="T242" s="12"/>
      <c r="U242" s="11"/>
      <c r="V242" s="23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ht="15.75" customHeight="1">
      <c r="A243" s="1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7"/>
      <c r="N243" s="7"/>
      <c r="O243" s="12"/>
      <c r="P243" s="12"/>
      <c r="Q243" s="12"/>
      <c r="R243" s="12"/>
      <c r="S243" s="12"/>
      <c r="T243" s="12"/>
      <c r="U243" s="11"/>
      <c r="V243" s="23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ht="15.75" customHeight="1">
      <c r="A244" s="1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7"/>
      <c r="N244" s="7"/>
      <c r="O244" s="12"/>
      <c r="P244" s="12"/>
      <c r="Q244" s="12"/>
      <c r="R244" s="12"/>
      <c r="S244" s="12"/>
      <c r="T244" s="12"/>
      <c r="U244" s="11"/>
      <c r="V244" s="23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ht="15.75" customHeight="1">
      <c r="A245" s="1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7"/>
      <c r="N245" s="7"/>
      <c r="O245" s="12"/>
      <c r="P245" s="12"/>
      <c r="Q245" s="12"/>
      <c r="R245" s="12"/>
      <c r="S245" s="12"/>
      <c r="T245" s="12"/>
      <c r="U245" s="11"/>
      <c r="V245" s="23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ht="15.75" customHeight="1">
      <c r="A246" s="1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7"/>
      <c r="N246" s="7"/>
      <c r="O246" s="12"/>
      <c r="P246" s="12"/>
      <c r="Q246" s="12"/>
      <c r="R246" s="12"/>
      <c r="S246" s="12"/>
      <c r="T246" s="12"/>
      <c r="U246" s="11"/>
      <c r="V246" s="23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ht="15.75" customHeight="1">
      <c r="A247" s="1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7"/>
      <c r="N247" s="7"/>
      <c r="O247" s="12"/>
      <c r="P247" s="12"/>
      <c r="Q247" s="12"/>
      <c r="R247" s="12"/>
      <c r="S247" s="12"/>
      <c r="T247" s="12"/>
      <c r="U247" s="11"/>
      <c r="V247" s="23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7"/>
      <c r="N248" s="27"/>
      <c r="O248" s="26"/>
      <c r="P248" s="26"/>
      <c r="Q248" s="26"/>
      <c r="R248" s="26"/>
      <c r="S248" s="26"/>
      <c r="T248" s="26"/>
      <c r="U248" s="28"/>
      <c r="V248" s="23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7"/>
      <c r="N249" s="27"/>
      <c r="O249" s="26"/>
      <c r="P249" s="26"/>
      <c r="Q249" s="26"/>
      <c r="R249" s="26"/>
      <c r="S249" s="26"/>
      <c r="T249" s="26"/>
      <c r="U249" s="28"/>
      <c r="V249" s="23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7"/>
      <c r="N250" s="27"/>
      <c r="O250" s="26"/>
      <c r="P250" s="26"/>
      <c r="Q250" s="26"/>
      <c r="R250" s="26"/>
      <c r="S250" s="26"/>
      <c r="T250" s="26"/>
      <c r="U250" s="28"/>
      <c r="V250" s="23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7"/>
      <c r="N251" s="27"/>
      <c r="O251" s="26"/>
      <c r="P251" s="26"/>
      <c r="Q251" s="26"/>
      <c r="R251" s="26"/>
      <c r="S251" s="26"/>
      <c r="T251" s="26"/>
      <c r="U251" s="28"/>
      <c r="V251" s="23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7"/>
      <c r="N252" s="27"/>
      <c r="O252" s="26"/>
      <c r="P252" s="26"/>
      <c r="Q252" s="26"/>
      <c r="R252" s="26"/>
      <c r="S252" s="26"/>
      <c r="T252" s="26"/>
      <c r="U252" s="28"/>
      <c r="V252" s="23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7"/>
      <c r="N253" s="27"/>
      <c r="O253" s="26"/>
      <c r="P253" s="26"/>
      <c r="Q253" s="26"/>
      <c r="R253" s="26"/>
      <c r="S253" s="26"/>
      <c r="T253" s="26"/>
      <c r="U253" s="28"/>
      <c r="V253" s="23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7"/>
      <c r="N254" s="27"/>
      <c r="O254" s="26"/>
      <c r="P254" s="26"/>
      <c r="Q254" s="26"/>
      <c r="R254" s="26"/>
      <c r="S254" s="26"/>
      <c r="T254" s="26"/>
      <c r="U254" s="28"/>
      <c r="V254" s="28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7"/>
      <c r="N255" s="27"/>
      <c r="O255" s="26"/>
      <c r="P255" s="26"/>
      <c r="Q255" s="26"/>
      <c r="R255" s="26"/>
      <c r="S255" s="26"/>
      <c r="T255" s="26"/>
      <c r="U255" s="28"/>
      <c r="V255" s="28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7"/>
      <c r="N256" s="27"/>
      <c r="O256" s="26"/>
      <c r="P256" s="26"/>
      <c r="Q256" s="26"/>
      <c r="R256" s="26"/>
      <c r="S256" s="26"/>
      <c r="T256" s="26"/>
      <c r="U256" s="28"/>
      <c r="V256" s="28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7"/>
      <c r="N257" s="27"/>
      <c r="O257" s="26"/>
      <c r="P257" s="26"/>
      <c r="Q257" s="26"/>
      <c r="R257" s="26"/>
      <c r="S257" s="26"/>
      <c r="T257" s="26"/>
      <c r="U257" s="28"/>
      <c r="V257" s="28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7"/>
      <c r="N258" s="27"/>
      <c r="O258" s="26"/>
      <c r="P258" s="26"/>
      <c r="Q258" s="26"/>
      <c r="R258" s="26"/>
      <c r="S258" s="26"/>
      <c r="T258" s="26"/>
      <c r="U258" s="28"/>
      <c r="V258" s="28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7"/>
      <c r="N259" s="27"/>
      <c r="O259" s="26"/>
      <c r="P259" s="26"/>
      <c r="Q259" s="26"/>
      <c r="R259" s="26"/>
      <c r="S259" s="26"/>
      <c r="T259" s="26"/>
      <c r="U259" s="28"/>
      <c r="V259" s="28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7"/>
      <c r="N260" s="27"/>
      <c r="O260" s="26"/>
      <c r="P260" s="26"/>
      <c r="Q260" s="26"/>
      <c r="R260" s="26"/>
      <c r="S260" s="26"/>
      <c r="T260" s="26"/>
      <c r="U260" s="28"/>
      <c r="V260" s="28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7"/>
      <c r="N261" s="27"/>
      <c r="O261" s="26"/>
      <c r="P261" s="26"/>
      <c r="Q261" s="26"/>
      <c r="R261" s="26"/>
      <c r="S261" s="26"/>
      <c r="T261" s="26"/>
      <c r="U261" s="28"/>
      <c r="V261" s="28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7"/>
      <c r="N262" s="27"/>
      <c r="O262" s="26"/>
      <c r="P262" s="26"/>
      <c r="Q262" s="26"/>
      <c r="R262" s="26"/>
      <c r="S262" s="26"/>
      <c r="T262" s="26"/>
      <c r="U262" s="28"/>
      <c r="V262" s="28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7"/>
      <c r="N263" s="27"/>
      <c r="O263" s="26"/>
      <c r="P263" s="26"/>
      <c r="Q263" s="26"/>
      <c r="R263" s="26"/>
      <c r="S263" s="26"/>
      <c r="T263" s="26"/>
      <c r="U263" s="28"/>
      <c r="V263" s="28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7"/>
      <c r="N264" s="27"/>
      <c r="O264" s="26"/>
      <c r="P264" s="26"/>
      <c r="Q264" s="26"/>
      <c r="R264" s="26"/>
      <c r="S264" s="26"/>
      <c r="T264" s="26"/>
      <c r="U264" s="28"/>
      <c r="V264" s="28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7"/>
      <c r="N265" s="27"/>
      <c r="O265" s="26"/>
      <c r="P265" s="26"/>
      <c r="Q265" s="26"/>
      <c r="R265" s="26"/>
      <c r="S265" s="26"/>
      <c r="T265" s="26"/>
      <c r="U265" s="28"/>
      <c r="V265" s="28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7"/>
      <c r="N266" s="27"/>
      <c r="O266" s="26"/>
      <c r="P266" s="26"/>
      <c r="Q266" s="26"/>
      <c r="R266" s="26"/>
      <c r="S266" s="26"/>
      <c r="T266" s="26"/>
      <c r="U266" s="28"/>
      <c r="V266" s="28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7"/>
      <c r="N267" s="27"/>
      <c r="O267" s="26"/>
      <c r="P267" s="26"/>
      <c r="Q267" s="26"/>
      <c r="R267" s="26"/>
      <c r="S267" s="26"/>
      <c r="T267" s="26"/>
      <c r="U267" s="28"/>
      <c r="V267" s="28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7"/>
      <c r="N268" s="27"/>
      <c r="O268" s="26"/>
      <c r="P268" s="26"/>
      <c r="Q268" s="26"/>
      <c r="R268" s="26"/>
      <c r="S268" s="26"/>
      <c r="T268" s="26"/>
      <c r="U268" s="28"/>
      <c r="V268" s="28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7"/>
      <c r="N269" s="27"/>
      <c r="O269" s="26"/>
      <c r="P269" s="26"/>
      <c r="Q269" s="26"/>
      <c r="R269" s="26"/>
      <c r="S269" s="26"/>
      <c r="T269" s="26"/>
      <c r="U269" s="28"/>
      <c r="V269" s="28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7"/>
      <c r="N270" s="27"/>
      <c r="O270" s="26"/>
      <c r="P270" s="26"/>
      <c r="Q270" s="26"/>
      <c r="R270" s="26"/>
      <c r="S270" s="26"/>
      <c r="T270" s="26"/>
      <c r="U270" s="28"/>
      <c r="V270" s="28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7"/>
      <c r="N271" s="27"/>
      <c r="O271" s="26"/>
      <c r="P271" s="26"/>
      <c r="Q271" s="26"/>
      <c r="R271" s="26"/>
      <c r="S271" s="26"/>
      <c r="T271" s="26"/>
      <c r="U271" s="28"/>
      <c r="V271" s="28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7"/>
      <c r="N272" s="27"/>
      <c r="O272" s="26"/>
      <c r="P272" s="26"/>
      <c r="Q272" s="26"/>
      <c r="R272" s="26"/>
      <c r="S272" s="26"/>
      <c r="T272" s="26"/>
      <c r="U272" s="28"/>
      <c r="V272" s="28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7"/>
      <c r="N273" s="27"/>
      <c r="O273" s="26"/>
      <c r="P273" s="26"/>
      <c r="Q273" s="26"/>
      <c r="R273" s="26"/>
      <c r="S273" s="26"/>
      <c r="T273" s="26"/>
      <c r="U273" s="28"/>
      <c r="V273" s="28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7"/>
      <c r="N274" s="27"/>
      <c r="O274" s="26"/>
      <c r="P274" s="26"/>
      <c r="Q274" s="26"/>
      <c r="R274" s="26"/>
      <c r="S274" s="26"/>
      <c r="T274" s="26"/>
      <c r="U274" s="28"/>
      <c r="V274" s="28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7"/>
      <c r="N275" s="27"/>
      <c r="O275" s="26"/>
      <c r="P275" s="26"/>
      <c r="Q275" s="26"/>
      <c r="R275" s="26"/>
      <c r="S275" s="26"/>
      <c r="T275" s="26"/>
      <c r="U275" s="28"/>
      <c r="V275" s="28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7"/>
      <c r="N276" s="27"/>
      <c r="O276" s="26"/>
      <c r="P276" s="26"/>
      <c r="Q276" s="26"/>
      <c r="R276" s="26"/>
      <c r="S276" s="26"/>
      <c r="T276" s="26"/>
      <c r="U276" s="28"/>
      <c r="V276" s="28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7"/>
      <c r="N277" s="27"/>
      <c r="O277" s="26"/>
      <c r="P277" s="26"/>
      <c r="Q277" s="26"/>
      <c r="R277" s="26"/>
      <c r="S277" s="26"/>
      <c r="T277" s="26"/>
      <c r="U277" s="28"/>
      <c r="V277" s="28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7"/>
      <c r="N278" s="27"/>
      <c r="O278" s="26"/>
      <c r="P278" s="26"/>
      <c r="Q278" s="26"/>
      <c r="R278" s="26"/>
      <c r="S278" s="26"/>
      <c r="T278" s="26"/>
      <c r="U278" s="28"/>
      <c r="V278" s="28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7"/>
      <c r="N279" s="27"/>
      <c r="O279" s="26"/>
      <c r="P279" s="26"/>
      <c r="Q279" s="26"/>
      <c r="R279" s="26"/>
      <c r="S279" s="26"/>
      <c r="T279" s="26"/>
      <c r="U279" s="28"/>
      <c r="V279" s="28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7"/>
      <c r="N280" s="27"/>
      <c r="O280" s="26"/>
      <c r="P280" s="26"/>
      <c r="Q280" s="26"/>
      <c r="R280" s="26"/>
      <c r="S280" s="26"/>
      <c r="T280" s="26"/>
      <c r="U280" s="28"/>
      <c r="V280" s="28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7"/>
      <c r="N281" s="27"/>
      <c r="O281" s="26"/>
      <c r="P281" s="26"/>
      <c r="Q281" s="26"/>
      <c r="R281" s="26"/>
      <c r="S281" s="26"/>
      <c r="T281" s="26"/>
      <c r="U281" s="28"/>
      <c r="V281" s="28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7"/>
      <c r="N282" s="27"/>
      <c r="O282" s="26"/>
      <c r="P282" s="26"/>
      <c r="Q282" s="26"/>
      <c r="R282" s="26"/>
      <c r="S282" s="26"/>
      <c r="T282" s="26"/>
      <c r="U282" s="28"/>
      <c r="V282" s="28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7"/>
      <c r="N283" s="27"/>
      <c r="O283" s="26"/>
      <c r="P283" s="26"/>
      <c r="Q283" s="26"/>
      <c r="R283" s="26"/>
      <c r="S283" s="26"/>
      <c r="T283" s="26"/>
      <c r="U283" s="28"/>
      <c r="V283" s="28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7"/>
      <c r="N284" s="27"/>
      <c r="O284" s="26"/>
      <c r="P284" s="26"/>
      <c r="Q284" s="26"/>
      <c r="R284" s="26"/>
      <c r="S284" s="26"/>
      <c r="T284" s="26"/>
      <c r="U284" s="28"/>
      <c r="V284" s="28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7"/>
      <c r="N285" s="27"/>
      <c r="O285" s="26"/>
      <c r="P285" s="26"/>
      <c r="Q285" s="26"/>
      <c r="R285" s="26"/>
      <c r="S285" s="26"/>
      <c r="T285" s="26"/>
      <c r="U285" s="28"/>
      <c r="V285" s="28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7"/>
      <c r="N286" s="27"/>
      <c r="O286" s="26"/>
      <c r="P286" s="26"/>
      <c r="Q286" s="26"/>
      <c r="R286" s="26"/>
      <c r="S286" s="26"/>
      <c r="T286" s="26"/>
      <c r="U286" s="28"/>
      <c r="V286" s="28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7"/>
      <c r="N287" s="27"/>
      <c r="O287" s="26"/>
      <c r="P287" s="26"/>
      <c r="Q287" s="26"/>
      <c r="R287" s="26"/>
      <c r="S287" s="26"/>
      <c r="T287" s="26"/>
      <c r="U287" s="28"/>
      <c r="V287" s="28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7"/>
      <c r="N288" s="27"/>
      <c r="O288" s="26"/>
      <c r="P288" s="26"/>
      <c r="Q288" s="26"/>
      <c r="R288" s="26"/>
      <c r="S288" s="26"/>
      <c r="T288" s="26"/>
      <c r="U288" s="28"/>
      <c r="V288" s="28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7"/>
      <c r="N289" s="27"/>
      <c r="O289" s="26"/>
      <c r="P289" s="26"/>
      <c r="Q289" s="26"/>
      <c r="R289" s="26"/>
      <c r="S289" s="26"/>
      <c r="T289" s="26"/>
      <c r="U289" s="28"/>
      <c r="V289" s="28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7"/>
      <c r="N290" s="27"/>
      <c r="O290" s="26"/>
      <c r="P290" s="26"/>
      <c r="Q290" s="26"/>
      <c r="R290" s="26"/>
      <c r="S290" s="26"/>
      <c r="T290" s="26"/>
      <c r="U290" s="28"/>
      <c r="V290" s="28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7"/>
      <c r="N291" s="27"/>
      <c r="O291" s="26"/>
      <c r="P291" s="26"/>
      <c r="Q291" s="26"/>
      <c r="R291" s="26"/>
      <c r="S291" s="26"/>
      <c r="T291" s="26"/>
      <c r="U291" s="28"/>
      <c r="V291" s="28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7"/>
      <c r="N292" s="27"/>
      <c r="O292" s="26"/>
      <c r="P292" s="26"/>
      <c r="Q292" s="26"/>
      <c r="R292" s="26"/>
      <c r="S292" s="26"/>
      <c r="T292" s="26"/>
      <c r="U292" s="28"/>
      <c r="V292" s="28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7"/>
      <c r="N293" s="27"/>
      <c r="O293" s="26"/>
      <c r="P293" s="26"/>
      <c r="Q293" s="26"/>
      <c r="R293" s="26"/>
      <c r="S293" s="26"/>
      <c r="T293" s="26"/>
      <c r="U293" s="28"/>
      <c r="V293" s="28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7"/>
      <c r="N294" s="27"/>
      <c r="O294" s="26"/>
      <c r="P294" s="26"/>
      <c r="Q294" s="26"/>
      <c r="R294" s="26"/>
      <c r="S294" s="26"/>
      <c r="T294" s="26"/>
      <c r="U294" s="28"/>
      <c r="V294" s="28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7"/>
      <c r="N295" s="27"/>
      <c r="O295" s="26"/>
      <c r="P295" s="26"/>
      <c r="Q295" s="26"/>
      <c r="R295" s="26"/>
      <c r="S295" s="26"/>
      <c r="T295" s="26"/>
      <c r="U295" s="28"/>
      <c r="V295" s="28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7"/>
      <c r="N296" s="27"/>
      <c r="O296" s="26"/>
      <c r="P296" s="26"/>
      <c r="Q296" s="26"/>
      <c r="R296" s="26"/>
      <c r="S296" s="26"/>
      <c r="T296" s="26"/>
      <c r="U296" s="28"/>
      <c r="V296" s="28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7"/>
      <c r="N297" s="27"/>
      <c r="O297" s="26"/>
      <c r="P297" s="26"/>
      <c r="Q297" s="26"/>
      <c r="R297" s="26"/>
      <c r="S297" s="26"/>
      <c r="T297" s="26"/>
      <c r="U297" s="28"/>
      <c r="V297" s="28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7"/>
      <c r="N298" s="27"/>
      <c r="O298" s="26"/>
      <c r="P298" s="26"/>
      <c r="Q298" s="26"/>
      <c r="R298" s="26"/>
      <c r="S298" s="26"/>
      <c r="T298" s="26"/>
      <c r="U298" s="28"/>
      <c r="V298" s="28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7"/>
      <c r="N299" s="27"/>
      <c r="O299" s="26"/>
      <c r="P299" s="26"/>
      <c r="Q299" s="26"/>
      <c r="R299" s="26"/>
      <c r="S299" s="26"/>
      <c r="T299" s="26"/>
      <c r="U299" s="28"/>
      <c r="V299" s="28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7"/>
      <c r="N300" s="27"/>
      <c r="O300" s="26"/>
      <c r="P300" s="26"/>
      <c r="Q300" s="26"/>
      <c r="R300" s="26"/>
      <c r="S300" s="26"/>
      <c r="T300" s="26"/>
      <c r="U300" s="28"/>
      <c r="V300" s="28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7"/>
      <c r="N301" s="27"/>
      <c r="O301" s="26"/>
      <c r="P301" s="26"/>
      <c r="Q301" s="26"/>
      <c r="R301" s="26"/>
      <c r="S301" s="26"/>
      <c r="T301" s="26"/>
      <c r="U301" s="28"/>
      <c r="V301" s="28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7"/>
      <c r="N302" s="27"/>
      <c r="O302" s="26"/>
      <c r="P302" s="26"/>
      <c r="Q302" s="26"/>
      <c r="R302" s="26"/>
      <c r="S302" s="26"/>
      <c r="T302" s="26"/>
      <c r="U302" s="28"/>
      <c r="V302" s="28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7"/>
      <c r="N303" s="27"/>
      <c r="O303" s="26"/>
      <c r="P303" s="26"/>
      <c r="Q303" s="26"/>
      <c r="R303" s="26"/>
      <c r="S303" s="26"/>
      <c r="T303" s="26"/>
      <c r="U303" s="28"/>
      <c r="V303" s="28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7"/>
      <c r="N304" s="27"/>
      <c r="O304" s="26"/>
      <c r="P304" s="26"/>
      <c r="Q304" s="26"/>
      <c r="R304" s="26"/>
      <c r="S304" s="26"/>
      <c r="T304" s="26"/>
      <c r="U304" s="28"/>
      <c r="V304" s="28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7"/>
      <c r="N305" s="27"/>
      <c r="O305" s="26"/>
      <c r="P305" s="26"/>
      <c r="Q305" s="26"/>
      <c r="R305" s="26"/>
      <c r="S305" s="26"/>
      <c r="T305" s="26"/>
      <c r="U305" s="28"/>
      <c r="V305" s="28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7"/>
      <c r="N306" s="27"/>
      <c r="O306" s="26"/>
      <c r="P306" s="26"/>
      <c r="Q306" s="26"/>
      <c r="R306" s="26"/>
      <c r="S306" s="26"/>
      <c r="T306" s="26"/>
      <c r="U306" s="28"/>
      <c r="V306" s="28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7"/>
      <c r="N307" s="27"/>
      <c r="O307" s="26"/>
      <c r="P307" s="26"/>
      <c r="Q307" s="26"/>
      <c r="R307" s="26"/>
      <c r="S307" s="26"/>
      <c r="T307" s="26"/>
      <c r="U307" s="28"/>
      <c r="V307" s="28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7"/>
      <c r="N308" s="27"/>
      <c r="O308" s="26"/>
      <c r="P308" s="26"/>
      <c r="Q308" s="26"/>
      <c r="R308" s="26"/>
      <c r="S308" s="26"/>
      <c r="T308" s="26"/>
      <c r="U308" s="28"/>
      <c r="V308" s="28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7"/>
      <c r="N309" s="27"/>
      <c r="O309" s="26"/>
      <c r="P309" s="26"/>
      <c r="Q309" s="26"/>
      <c r="R309" s="26"/>
      <c r="S309" s="26"/>
      <c r="T309" s="26"/>
      <c r="U309" s="28"/>
      <c r="V309" s="28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7"/>
      <c r="N310" s="27"/>
      <c r="O310" s="26"/>
      <c r="P310" s="26"/>
      <c r="Q310" s="26"/>
      <c r="R310" s="26"/>
      <c r="S310" s="26"/>
      <c r="T310" s="26"/>
      <c r="U310" s="28"/>
      <c r="V310" s="28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7"/>
      <c r="N311" s="27"/>
      <c r="O311" s="26"/>
      <c r="P311" s="26"/>
      <c r="Q311" s="26"/>
      <c r="R311" s="26"/>
      <c r="S311" s="26"/>
      <c r="T311" s="26"/>
      <c r="U311" s="28"/>
      <c r="V311" s="28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7"/>
      <c r="N312" s="27"/>
      <c r="O312" s="26"/>
      <c r="P312" s="26"/>
      <c r="Q312" s="26"/>
      <c r="R312" s="26"/>
      <c r="S312" s="26"/>
      <c r="T312" s="26"/>
      <c r="U312" s="28"/>
      <c r="V312" s="28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7"/>
      <c r="N313" s="27"/>
      <c r="O313" s="26"/>
      <c r="P313" s="26"/>
      <c r="Q313" s="26"/>
      <c r="R313" s="26"/>
      <c r="S313" s="26"/>
      <c r="T313" s="26"/>
      <c r="U313" s="28"/>
      <c r="V313" s="28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7"/>
      <c r="N314" s="27"/>
      <c r="O314" s="26"/>
      <c r="P314" s="26"/>
      <c r="Q314" s="26"/>
      <c r="R314" s="26"/>
      <c r="S314" s="26"/>
      <c r="T314" s="26"/>
      <c r="U314" s="28"/>
      <c r="V314" s="28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7"/>
      <c r="N315" s="27"/>
      <c r="O315" s="26"/>
      <c r="P315" s="26"/>
      <c r="Q315" s="26"/>
      <c r="R315" s="26"/>
      <c r="S315" s="26"/>
      <c r="T315" s="26"/>
      <c r="U315" s="28"/>
      <c r="V315" s="28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7"/>
      <c r="N316" s="27"/>
      <c r="O316" s="26"/>
      <c r="P316" s="26"/>
      <c r="Q316" s="26"/>
      <c r="R316" s="26"/>
      <c r="S316" s="26"/>
      <c r="T316" s="26"/>
      <c r="U316" s="28"/>
      <c r="V316" s="28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7"/>
      <c r="N317" s="27"/>
      <c r="O317" s="26"/>
      <c r="P317" s="26"/>
      <c r="Q317" s="26"/>
      <c r="R317" s="26"/>
      <c r="S317" s="26"/>
      <c r="T317" s="26"/>
      <c r="U317" s="28"/>
      <c r="V317" s="28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7"/>
      <c r="N318" s="27"/>
      <c r="O318" s="26"/>
      <c r="P318" s="26"/>
      <c r="Q318" s="26"/>
      <c r="R318" s="26"/>
      <c r="S318" s="26"/>
      <c r="T318" s="26"/>
      <c r="U318" s="28"/>
      <c r="V318" s="28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7"/>
      <c r="N319" s="27"/>
      <c r="O319" s="26"/>
      <c r="P319" s="26"/>
      <c r="Q319" s="26"/>
      <c r="R319" s="26"/>
      <c r="S319" s="26"/>
      <c r="T319" s="26"/>
      <c r="U319" s="28"/>
      <c r="V319" s="28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7"/>
      <c r="N320" s="27"/>
      <c r="O320" s="26"/>
      <c r="P320" s="26"/>
      <c r="Q320" s="26"/>
      <c r="R320" s="26"/>
      <c r="S320" s="26"/>
      <c r="T320" s="26"/>
      <c r="U320" s="28"/>
      <c r="V320" s="28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7"/>
      <c r="N321" s="27"/>
      <c r="O321" s="26"/>
      <c r="P321" s="26"/>
      <c r="Q321" s="26"/>
      <c r="R321" s="26"/>
      <c r="S321" s="26"/>
      <c r="T321" s="26"/>
      <c r="U321" s="28"/>
      <c r="V321" s="28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7"/>
      <c r="N322" s="27"/>
      <c r="O322" s="26"/>
      <c r="P322" s="26"/>
      <c r="Q322" s="26"/>
      <c r="R322" s="26"/>
      <c r="S322" s="26"/>
      <c r="T322" s="26"/>
      <c r="U322" s="28"/>
      <c r="V322" s="28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7"/>
      <c r="N323" s="27"/>
      <c r="O323" s="26"/>
      <c r="P323" s="26"/>
      <c r="Q323" s="26"/>
      <c r="R323" s="26"/>
      <c r="S323" s="26"/>
      <c r="T323" s="26"/>
      <c r="U323" s="28"/>
      <c r="V323" s="28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7"/>
      <c r="N324" s="27"/>
      <c r="O324" s="26"/>
      <c r="P324" s="26"/>
      <c r="Q324" s="26"/>
      <c r="R324" s="26"/>
      <c r="S324" s="26"/>
      <c r="T324" s="26"/>
      <c r="U324" s="28"/>
      <c r="V324" s="28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7"/>
      <c r="N325" s="27"/>
      <c r="O325" s="26"/>
      <c r="P325" s="26"/>
      <c r="Q325" s="26"/>
      <c r="R325" s="26"/>
      <c r="S325" s="26"/>
      <c r="T325" s="26"/>
      <c r="U325" s="28"/>
      <c r="V325" s="28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7"/>
      <c r="N326" s="27"/>
      <c r="O326" s="26"/>
      <c r="P326" s="26"/>
      <c r="Q326" s="26"/>
      <c r="R326" s="26"/>
      <c r="S326" s="26"/>
      <c r="T326" s="26"/>
      <c r="U326" s="28"/>
      <c r="V326" s="28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7"/>
      <c r="N327" s="27"/>
      <c r="O327" s="26"/>
      <c r="P327" s="26"/>
      <c r="Q327" s="26"/>
      <c r="R327" s="26"/>
      <c r="S327" s="26"/>
      <c r="T327" s="26"/>
      <c r="U327" s="28"/>
      <c r="V327" s="28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7"/>
      <c r="N328" s="27"/>
      <c r="O328" s="26"/>
      <c r="P328" s="26"/>
      <c r="Q328" s="26"/>
      <c r="R328" s="26"/>
      <c r="S328" s="26"/>
      <c r="T328" s="26"/>
      <c r="U328" s="28"/>
      <c r="V328" s="28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7"/>
      <c r="N329" s="27"/>
      <c r="O329" s="26"/>
      <c r="P329" s="26"/>
      <c r="Q329" s="26"/>
      <c r="R329" s="26"/>
      <c r="S329" s="26"/>
      <c r="T329" s="26"/>
      <c r="U329" s="28"/>
      <c r="V329" s="28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7"/>
      <c r="N330" s="27"/>
      <c r="O330" s="26"/>
      <c r="P330" s="26"/>
      <c r="Q330" s="26"/>
      <c r="R330" s="26"/>
      <c r="S330" s="26"/>
      <c r="T330" s="26"/>
      <c r="U330" s="28"/>
      <c r="V330" s="28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7"/>
      <c r="N331" s="27"/>
      <c r="O331" s="26"/>
      <c r="P331" s="26"/>
      <c r="Q331" s="26"/>
      <c r="R331" s="26"/>
      <c r="S331" s="26"/>
      <c r="T331" s="26"/>
      <c r="U331" s="28"/>
      <c r="V331" s="28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7"/>
      <c r="N332" s="27"/>
      <c r="O332" s="26"/>
      <c r="P332" s="26"/>
      <c r="Q332" s="26"/>
      <c r="R332" s="26"/>
      <c r="S332" s="26"/>
      <c r="T332" s="26"/>
      <c r="U332" s="28"/>
      <c r="V332" s="28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7"/>
      <c r="N333" s="27"/>
      <c r="O333" s="26"/>
      <c r="P333" s="26"/>
      <c r="Q333" s="26"/>
      <c r="R333" s="26"/>
      <c r="S333" s="26"/>
      <c r="T333" s="26"/>
      <c r="U333" s="28"/>
      <c r="V333" s="28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7"/>
      <c r="N334" s="27"/>
      <c r="O334" s="26"/>
      <c r="P334" s="26"/>
      <c r="Q334" s="26"/>
      <c r="R334" s="26"/>
      <c r="S334" s="26"/>
      <c r="T334" s="26"/>
      <c r="U334" s="28"/>
      <c r="V334" s="28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7"/>
      <c r="N335" s="27"/>
      <c r="O335" s="26"/>
      <c r="P335" s="26"/>
      <c r="Q335" s="26"/>
      <c r="R335" s="26"/>
      <c r="S335" s="26"/>
      <c r="T335" s="26"/>
      <c r="U335" s="28"/>
      <c r="V335" s="28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7"/>
      <c r="N336" s="27"/>
      <c r="O336" s="26"/>
      <c r="P336" s="26"/>
      <c r="Q336" s="26"/>
      <c r="R336" s="26"/>
      <c r="S336" s="26"/>
      <c r="T336" s="26"/>
      <c r="U336" s="28"/>
      <c r="V336" s="28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7"/>
      <c r="N337" s="27"/>
      <c r="O337" s="26"/>
      <c r="P337" s="26"/>
      <c r="Q337" s="26"/>
      <c r="R337" s="26"/>
      <c r="S337" s="26"/>
      <c r="T337" s="26"/>
      <c r="U337" s="28"/>
      <c r="V337" s="28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7"/>
      <c r="N338" s="27"/>
      <c r="O338" s="26"/>
      <c r="P338" s="26"/>
      <c r="Q338" s="26"/>
      <c r="R338" s="26"/>
      <c r="S338" s="26"/>
      <c r="T338" s="26"/>
      <c r="U338" s="28"/>
      <c r="V338" s="28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7"/>
      <c r="N339" s="27"/>
      <c r="O339" s="26"/>
      <c r="P339" s="26"/>
      <c r="Q339" s="26"/>
      <c r="R339" s="26"/>
      <c r="S339" s="26"/>
      <c r="T339" s="26"/>
      <c r="U339" s="28"/>
      <c r="V339" s="28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7"/>
      <c r="N340" s="27"/>
      <c r="O340" s="26"/>
      <c r="P340" s="26"/>
      <c r="Q340" s="26"/>
      <c r="R340" s="26"/>
      <c r="S340" s="26"/>
      <c r="T340" s="26"/>
      <c r="U340" s="28"/>
      <c r="V340" s="28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7"/>
      <c r="N341" s="27"/>
      <c r="O341" s="26"/>
      <c r="P341" s="26"/>
      <c r="Q341" s="26"/>
      <c r="R341" s="26"/>
      <c r="S341" s="26"/>
      <c r="T341" s="26"/>
      <c r="U341" s="28"/>
      <c r="V341" s="28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7"/>
      <c r="N342" s="27"/>
      <c r="O342" s="26"/>
      <c r="P342" s="26"/>
      <c r="Q342" s="26"/>
      <c r="R342" s="26"/>
      <c r="S342" s="26"/>
      <c r="T342" s="26"/>
      <c r="U342" s="28"/>
      <c r="V342" s="28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7"/>
      <c r="N343" s="27"/>
      <c r="O343" s="26"/>
      <c r="P343" s="26"/>
      <c r="Q343" s="26"/>
      <c r="R343" s="26"/>
      <c r="S343" s="26"/>
      <c r="T343" s="26"/>
      <c r="U343" s="28"/>
      <c r="V343" s="28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7"/>
      <c r="N344" s="27"/>
      <c r="O344" s="26"/>
      <c r="P344" s="26"/>
      <c r="Q344" s="26"/>
      <c r="R344" s="26"/>
      <c r="S344" s="26"/>
      <c r="T344" s="26"/>
      <c r="U344" s="28"/>
      <c r="V344" s="28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 ht="15.75" customHeight="1">
      <c r="M345" s="27"/>
      <c r="N345" s="27"/>
      <c r="U345" s="28"/>
      <c r="V345" s="28"/>
    </row>
    <row r="346" ht="15.75" customHeight="1">
      <c r="M346" s="27"/>
      <c r="N346" s="27"/>
      <c r="U346" s="28"/>
      <c r="V346" s="28"/>
    </row>
    <row r="347" ht="15.75" customHeight="1">
      <c r="M347" s="27"/>
      <c r="N347" s="27"/>
      <c r="U347" s="28"/>
      <c r="V347" s="28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0"/>
    <col customWidth="1" min="2" max="2" width="7.13"/>
    <col customWidth="1" min="3" max="3" width="38.75"/>
    <col customWidth="1" min="4" max="4" width="3.25"/>
    <col customWidth="1" min="5" max="5" width="6.88"/>
    <col customWidth="1" min="6" max="25" width="12.63"/>
  </cols>
  <sheetData>
    <row r="1">
      <c r="A1" s="29" t="s">
        <v>191</v>
      </c>
      <c r="B1" s="29" t="s">
        <v>192</v>
      </c>
      <c r="C1" s="29" t="s">
        <v>193</v>
      </c>
      <c r="D1" s="29" t="s">
        <v>194</v>
      </c>
      <c r="E1" s="29" t="s">
        <v>195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29" t="s">
        <v>196</v>
      </c>
      <c r="B2" s="13">
        <v>0.0</v>
      </c>
      <c r="C2" s="29" t="s">
        <v>197</v>
      </c>
      <c r="D2" s="13">
        <v>60.0</v>
      </c>
      <c r="E2" s="13">
        <f>README!$B$11</f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29" t="s">
        <v>198</v>
      </c>
      <c r="B3" s="13">
        <v>0.0</v>
      </c>
      <c r="C3" s="29" t="s">
        <v>199</v>
      </c>
      <c r="D3" s="13">
        <v>10.0</v>
      </c>
      <c r="E3" s="13">
        <f>README!$B$11</f>
        <v>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9" t="s">
        <v>200</v>
      </c>
      <c r="B4" s="13">
        <v>0.0</v>
      </c>
      <c r="C4" s="29" t="s">
        <v>201</v>
      </c>
      <c r="D4" s="13">
        <v>2.0</v>
      </c>
      <c r="E4" s="13">
        <f>README!$B$10</f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9" t="s">
        <v>202</v>
      </c>
      <c r="B5" s="13">
        <v>0.0</v>
      </c>
      <c r="C5" s="29" t="s">
        <v>203</v>
      </c>
      <c r="D5" s="13">
        <v>2.0</v>
      </c>
      <c r="E5" s="13">
        <f>README!$B$10</f>
        <v>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29" t="s">
        <v>204</v>
      </c>
      <c r="B6" s="13">
        <v>0.0</v>
      </c>
      <c r="C6" s="29" t="s">
        <v>205</v>
      </c>
      <c r="D6" s="13">
        <v>3.0</v>
      </c>
      <c r="E6" s="13">
        <f>README!$B$10</f>
        <v>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30" t="s">
        <v>206</v>
      </c>
      <c r="B7" s="30">
        <v>0.0</v>
      </c>
      <c r="C7" s="31" t="s">
        <v>207</v>
      </c>
      <c r="D7" s="30">
        <v>5.0</v>
      </c>
      <c r="E7" s="30">
        <v>0.0</v>
      </c>
    </row>
    <row r="8">
      <c r="A8" s="30" t="s">
        <v>208</v>
      </c>
      <c r="B8" s="30">
        <v>0.0</v>
      </c>
      <c r="C8" s="31" t="s">
        <v>209</v>
      </c>
      <c r="D8" s="30">
        <v>2.0</v>
      </c>
      <c r="E8" s="30">
        <v>0.0</v>
      </c>
    </row>
    <row r="9">
      <c r="A9" s="29" t="s">
        <v>210</v>
      </c>
      <c r="B9" s="13">
        <v>0.0</v>
      </c>
      <c r="C9" s="29" t="s">
        <v>211</v>
      </c>
      <c r="D9" s="13">
        <v>60.0</v>
      </c>
      <c r="E9" s="13">
        <f>README!$B$10</f>
        <v>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9" t="s">
        <v>212</v>
      </c>
      <c r="B10" s="13">
        <v>0.0</v>
      </c>
      <c r="C10" s="29" t="s">
        <v>213</v>
      </c>
      <c r="D10" s="13">
        <v>60.0</v>
      </c>
      <c r="E10" s="13">
        <f>README!$B$10</f>
        <v>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9" t="s">
        <v>214</v>
      </c>
      <c r="B11" s="13">
        <v>0.0</v>
      </c>
      <c r="C11" s="29" t="s">
        <v>215</v>
      </c>
      <c r="D11" s="13">
        <v>60.0</v>
      </c>
      <c r="E11" s="13">
        <f>README!$B$10</f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31" t="s">
        <v>216</v>
      </c>
      <c r="B12" s="32">
        <v>0.0</v>
      </c>
      <c r="C12" s="31" t="s">
        <v>217</v>
      </c>
      <c r="D12" s="32">
        <v>60.0</v>
      </c>
      <c r="E12" s="32">
        <v>0.0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31" t="s">
        <v>218</v>
      </c>
      <c r="B13" s="32">
        <v>0.0</v>
      </c>
      <c r="C13" s="31" t="s">
        <v>219</v>
      </c>
      <c r="D13" s="32">
        <v>60.0</v>
      </c>
      <c r="E13" s="32">
        <v>0.0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29"/>
      <c r="B14" s="13"/>
      <c r="C14" s="29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29"/>
      <c r="B15" s="13"/>
      <c r="C15" s="29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9"/>
      <c r="B16" s="13"/>
      <c r="C16" s="29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9"/>
      <c r="B17" s="13"/>
      <c r="C17" s="29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29"/>
      <c r="B18" s="13"/>
      <c r="C18" s="29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29"/>
      <c r="B19" s="13"/>
      <c r="C19" s="29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29"/>
      <c r="B20" s="13"/>
      <c r="C20" s="29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9"/>
      <c r="B21" s="13"/>
      <c r="C21" s="2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9"/>
      <c r="B22" s="13"/>
      <c r="C22" s="2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29"/>
      <c r="B23" s="13"/>
      <c r="C23" s="29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29"/>
      <c r="B24" s="13"/>
      <c r="C24" s="2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9"/>
      <c r="B25" s="13"/>
      <c r="C25" s="2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9"/>
      <c r="B26" s="13"/>
      <c r="C26" s="2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9"/>
      <c r="B27" s="13"/>
      <c r="C27" s="29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29"/>
      <c r="B28" s="13"/>
      <c r="C28" s="29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>
      <c r="A29" s="29"/>
      <c r="B29" s="13"/>
      <c r="C29" s="29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29"/>
      <c r="B30" s="13"/>
      <c r="C30" s="2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>
      <c r="A31" s="29"/>
      <c r="B31" s="13"/>
      <c r="C31" s="29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>
      <c r="A32" s="29"/>
      <c r="B32" s="13"/>
      <c r="C32" s="29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29"/>
      <c r="B33" s="13"/>
      <c r="C33" s="29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A34" s="29"/>
      <c r="B34" s="13"/>
      <c r="C34" s="29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A35" s="29"/>
      <c r="B35" s="13"/>
      <c r="C35" s="29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A36" s="29"/>
      <c r="B36" s="13"/>
      <c r="C36" s="29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A37" s="29"/>
      <c r="B37" s="13"/>
      <c r="C37" s="29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A38" s="29"/>
      <c r="B38" s="13"/>
      <c r="C38" s="29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A39" s="29"/>
      <c r="B39" s="13"/>
      <c r="C39" s="29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A40" s="29"/>
      <c r="B40" s="13"/>
      <c r="C40" s="29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A41" s="29"/>
      <c r="B41" s="13"/>
      <c r="C41" s="29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A42" s="29"/>
      <c r="B42" s="13"/>
      <c r="C42" s="29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A43" s="29"/>
      <c r="B43" s="13"/>
      <c r="C43" s="29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A44" s="29"/>
      <c r="B44" s="13"/>
      <c r="C44" s="29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A45" s="29"/>
      <c r="B45" s="13"/>
      <c r="C45" s="29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A46" s="29"/>
      <c r="B46" s="13"/>
      <c r="C46" s="29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A47" s="29"/>
      <c r="B47" s="13"/>
      <c r="C47" s="29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29"/>
      <c r="B48" s="13"/>
      <c r="C48" s="29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A49" s="29"/>
      <c r="B49" s="13"/>
      <c r="C49" s="2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9"/>
      <c r="B50" s="13"/>
      <c r="C50" s="29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9"/>
      <c r="B51" s="13"/>
      <c r="C51" s="29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A52" s="29"/>
      <c r="B52" s="13"/>
      <c r="C52" s="29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29"/>
      <c r="B53" s="13"/>
      <c r="C53" s="29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29"/>
      <c r="B54" s="13"/>
      <c r="C54" s="29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9"/>
      <c r="B55" s="13"/>
      <c r="C55" s="29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9"/>
      <c r="B56" s="13"/>
      <c r="C56" s="2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A57" s="29"/>
      <c r="B57" s="13"/>
      <c r="C57" s="29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29"/>
      <c r="B58" s="13"/>
      <c r="C58" s="29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A59" s="29"/>
      <c r="B59" s="13"/>
      <c r="C59" s="29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29"/>
      <c r="B60" s="13"/>
      <c r="C60" s="29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A61" s="29"/>
      <c r="B61" s="13"/>
      <c r="C61" s="29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29"/>
      <c r="B62" s="13"/>
      <c r="C62" s="29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A63" s="29"/>
      <c r="B63" s="13"/>
      <c r="C63" s="29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29"/>
      <c r="B64" s="13"/>
      <c r="C64" s="29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A65" s="29"/>
      <c r="B65" s="13"/>
      <c r="C65" s="29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29"/>
      <c r="B66" s="13"/>
      <c r="C66" s="29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A67" s="29"/>
      <c r="B67" s="13"/>
      <c r="C67" s="29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29"/>
      <c r="B68" s="13"/>
      <c r="C68" s="29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A69" s="29"/>
      <c r="B69" s="13"/>
      <c r="C69" s="29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9"/>
      <c r="B70" s="13"/>
      <c r="C70" s="29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A71" s="29"/>
      <c r="B71" s="13"/>
      <c r="C71" s="29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29"/>
      <c r="B72" s="13"/>
      <c r="C72" s="29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29"/>
      <c r="B73" s="13"/>
      <c r="C73" s="29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29"/>
      <c r="B74" s="13"/>
      <c r="C74" s="29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9"/>
      <c r="B75" s="13"/>
      <c r="C75" s="29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9"/>
      <c r="B76" s="13"/>
      <c r="C76" s="29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>
      <c r="A77" s="29"/>
      <c r="B77" s="13"/>
      <c r="C77" s="29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29"/>
      <c r="B78" s="13"/>
      <c r="C78" s="29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A79" s="29"/>
      <c r="B79" s="13"/>
      <c r="C79" s="29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29"/>
      <c r="B80" s="13"/>
      <c r="C80" s="29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A81" s="29"/>
      <c r="B81" s="13"/>
      <c r="C81" s="29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A82" s="29"/>
      <c r="B82" s="13"/>
      <c r="C82" s="29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>
      <c r="A83" s="29"/>
      <c r="B83" s="13"/>
      <c r="C83" s="29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29"/>
      <c r="B84" s="13"/>
      <c r="C84" s="29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A85" s="29"/>
      <c r="B85" s="13"/>
      <c r="C85" s="29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29"/>
      <c r="B86" s="13"/>
      <c r="C86" s="29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A87" s="29"/>
      <c r="B87" s="13"/>
      <c r="C87" s="29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29"/>
      <c r="B88" s="13"/>
      <c r="C88" s="29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A89" s="29"/>
      <c r="B89" s="13"/>
      <c r="C89" s="29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>
      <c r="A90" s="29"/>
      <c r="B90" s="13"/>
      <c r="C90" s="29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customHeight="1">
      <c r="A91" s="29"/>
      <c r="B91" s="13"/>
      <c r="C91" s="29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>
      <c r="A92" s="29"/>
      <c r="B92" s="13"/>
      <c r="C92" s="29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29"/>
      <c r="B93" s="13"/>
      <c r="C93" s="29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29"/>
      <c r="B94" s="13"/>
      <c r="C94" s="29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29"/>
      <c r="B95" s="13"/>
      <c r="C95" s="29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29"/>
      <c r="B96" s="13"/>
      <c r="C96" s="29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29"/>
      <c r="B97" s="13"/>
      <c r="C97" s="29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29"/>
      <c r="B98" s="13"/>
      <c r="C98" s="29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29"/>
      <c r="B99" s="13"/>
      <c r="C99" s="29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29"/>
      <c r="B100" s="13"/>
      <c r="C100" s="2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29"/>
      <c r="B101" s="13"/>
      <c r="C101" s="29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29"/>
      <c r="B102" s="13"/>
      <c r="C102" s="29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29"/>
      <c r="B103" s="13"/>
      <c r="C103" s="29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29"/>
      <c r="B104" s="13"/>
      <c r="C104" s="29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29"/>
      <c r="B105" s="13"/>
      <c r="C105" s="29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29"/>
      <c r="B106" s="13"/>
      <c r="C106" s="29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29"/>
      <c r="B107" s="13"/>
      <c r="C107" s="29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29"/>
      <c r="B108" s="13"/>
      <c r="C108" s="29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29"/>
      <c r="B109" s="13"/>
      <c r="C109" s="29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9"/>
      <c r="B110" s="13"/>
      <c r="C110" s="29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29"/>
      <c r="B111" s="13"/>
      <c r="C111" s="29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29"/>
      <c r="B112" s="13"/>
      <c r="C112" s="29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29"/>
      <c r="B113" s="13"/>
      <c r="C113" s="29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29"/>
      <c r="B114" s="13"/>
      <c r="C114" s="29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9"/>
      <c r="B115" s="13"/>
      <c r="C115" s="29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29"/>
      <c r="B116" s="13"/>
      <c r="C116" s="29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9"/>
      <c r="B117" s="13"/>
      <c r="C117" s="29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29"/>
      <c r="B118" s="13"/>
      <c r="C118" s="29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29"/>
      <c r="B119" s="13"/>
      <c r="C119" s="29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9"/>
      <c r="B120" s="13"/>
      <c r="C120" s="29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29"/>
      <c r="B121" s="13"/>
      <c r="C121" s="29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29"/>
      <c r="B122" s="13"/>
      <c r="C122" s="29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29"/>
      <c r="B123" s="13"/>
      <c r="C123" s="29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29"/>
      <c r="B124" s="13"/>
      <c r="C124" s="29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9"/>
      <c r="B125" s="13"/>
      <c r="C125" s="29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29"/>
      <c r="B126" s="13"/>
      <c r="C126" s="29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29"/>
      <c r="B127" s="13"/>
      <c r="C127" s="29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9"/>
      <c r="B128" s="13"/>
      <c r="C128" s="29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9"/>
      <c r="B129" s="13"/>
      <c r="C129" s="29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9"/>
      <c r="B130" s="13"/>
      <c r="C130" s="29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9"/>
      <c r="B131" s="13"/>
      <c r="C131" s="29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29"/>
      <c r="B132" s="13"/>
      <c r="C132" s="29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29"/>
      <c r="B133" s="13"/>
      <c r="C133" s="29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9"/>
      <c r="B134" s="13"/>
      <c r="C134" s="29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29"/>
      <c r="B135" s="13"/>
      <c r="C135" s="29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29"/>
      <c r="B136" s="13"/>
      <c r="C136" s="29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29"/>
      <c r="B137" s="13"/>
      <c r="C137" s="29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29"/>
      <c r="B138" s="13"/>
      <c r="C138" s="2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9"/>
      <c r="B139" s="13"/>
      <c r="C139" s="2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29"/>
      <c r="B140" s="13"/>
      <c r="C140" s="29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29"/>
      <c r="B141" s="13"/>
      <c r="C141" s="29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29"/>
      <c r="B142" s="13"/>
      <c r="C142" s="29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9"/>
      <c r="B143" s="13"/>
      <c r="C143" s="29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29"/>
      <c r="B144" s="13"/>
      <c r="C144" s="29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29"/>
      <c r="B145" s="13"/>
      <c r="C145" s="29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9"/>
      <c r="B146" s="13"/>
      <c r="C146" s="29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29"/>
      <c r="B147" s="13"/>
      <c r="C147" s="29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29"/>
      <c r="B148" s="13"/>
      <c r="C148" s="29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9"/>
      <c r="B149" s="13"/>
      <c r="C149" s="29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9"/>
      <c r="B150" s="13"/>
      <c r="C150" s="29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29"/>
      <c r="B151" s="13"/>
      <c r="C151" s="29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29"/>
      <c r="B152" s="13"/>
      <c r="C152" s="29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29"/>
      <c r="B153" s="13"/>
      <c r="C153" s="29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9"/>
      <c r="B154" s="13"/>
      <c r="C154" s="29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29"/>
      <c r="B155" s="13"/>
      <c r="C155" s="29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29"/>
      <c r="B156" s="13"/>
      <c r="C156" s="29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9"/>
      <c r="B157" s="13"/>
      <c r="C157" s="29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29"/>
      <c r="B158" s="13"/>
      <c r="C158" s="29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29"/>
      <c r="B159" s="13"/>
      <c r="C159" s="29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9"/>
      <c r="B160" s="13"/>
      <c r="C160" s="29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9"/>
      <c r="B161" s="13"/>
      <c r="C161" s="29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29"/>
      <c r="B162" s="13"/>
      <c r="C162" s="29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29"/>
      <c r="B163" s="13"/>
      <c r="C163" s="29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29"/>
      <c r="B164" s="13"/>
      <c r="C164" s="29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9"/>
      <c r="B165" s="13"/>
      <c r="C165" s="29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9"/>
      <c r="B166" s="13"/>
      <c r="C166" s="29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9"/>
      <c r="B167" s="13"/>
      <c r="C167" s="29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29"/>
      <c r="B168" s="13"/>
      <c r="C168" s="29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29"/>
      <c r="B169" s="13"/>
      <c r="C169" s="29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9"/>
      <c r="B170" s="13"/>
      <c r="C170" s="29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9"/>
      <c r="B171" s="13"/>
      <c r="C171" s="29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9"/>
      <c r="B172" s="13"/>
      <c r="C172" s="29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29"/>
      <c r="B173" s="13"/>
      <c r="C173" s="29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29"/>
      <c r="B174" s="13"/>
      <c r="C174" s="29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9"/>
      <c r="B175" s="13"/>
      <c r="C175" s="29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9"/>
      <c r="B176" s="13"/>
      <c r="C176" s="29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9"/>
      <c r="B177" s="13"/>
      <c r="C177" s="29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29"/>
      <c r="B178" s="13"/>
      <c r="C178" s="29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29"/>
      <c r="B179" s="13"/>
      <c r="C179" s="29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29"/>
      <c r="B180" s="13"/>
      <c r="C180" s="29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29"/>
      <c r="B181" s="13"/>
      <c r="C181" s="29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29"/>
      <c r="B182" s="13"/>
      <c r="C182" s="29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9"/>
      <c r="B183" s="13"/>
      <c r="C183" s="29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29"/>
      <c r="B184" s="13"/>
      <c r="C184" s="29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29"/>
      <c r="B185" s="13"/>
      <c r="C185" s="29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9"/>
      <c r="B186" s="13"/>
      <c r="C186" s="29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29"/>
      <c r="B187" s="13"/>
      <c r="C187" s="29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29"/>
      <c r="B188" s="13"/>
      <c r="C188" s="29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9"/>
      <c r="B189" s="13"/>
      <c r="C189" s="29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29"/>
      <c r="B190" s="13"/>
      <c r="C190" s="29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29"/>
      <c r="B191" s="13"/>
      <c r="C191" s="29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9"/>
      <c r="B192" s="13"/>
      <c r="C192" s="29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29"/>
      <c r="B193" s="13"/>
      <c r="C193" s="29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29"/>
      <c r="B194" s="13"/>
      <c r="C194" s="29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29"/>
      <c r="B195" s="13"/>
      <c r="C195" s="29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29"/>
      <c r="B196" s="13"/>
      <c r="C196" s="29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29"/>
      <c r="B197" s="13"/>
      <c r="C197" s="29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29"/>
      <c r="B198" s="13"/>
      <c r="C198" s="29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29"/>
      <c r="B199" s="13"/>
      <c r="C199" s="29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29"/>
      <c r="B200" s="13"/>
      <c r="C200" s="29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9"/>
      <c r="B201" s="13"/>
      <c r="C201" s="29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29"/>
      <c r="B202" s="13"/>
      <c r="C202" s="29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29"/>
      <c r="B203" s="13"/>
      <c r="C203" s="29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29"/>
      <c r="B204" s="13"/>
      <c r="C204" s="29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29"/>
      <c r="B205" s="13"/>
      <c r="C205" s="29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29"/>
      <c r="B206" s="13"/>
      <c r="C206" s="29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29"/>
      <c r="B207" s="13"/>
      <c r="C207" s="29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29"/>
      <c r="B208" s="13"/>
      <c r="C208" s="29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29"/>
      <c r="B209" s="13"/>
      <c r="C209" s="29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29"/>
      <c r="B210" s="13"/>
      <c r="C210" s="2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29"/>
      <c r="B211" s="13"/>
      <c r="C211" s="2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29"/>
      <c r="B212" s="13"/>
      <c r="C212" s="2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29"/>
      <c r="B213" s="13"/>
      <c r="C213" s="29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29"/>
      <c r="B214" s="13"/>
      <c r="C214" s="29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29"/>
      <c r="B215" s="13"/>
      <c r="C215" s="29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29"/>
      <c r="B216" s="13"/>
      <c r="C216" s="29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29"/>
      <c r="B217" s="13"/>
      <c r="C217" s="29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29"/>
      <c r="B218" s="13"/>
      <c r="C218" s="29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29"/>
      <c r="B219" s="13"/>
      <c r="C219" s="29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29"/>
      <c r="B220" s="13"/>
      <c r="C220" s="29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13"/>
    <col customWidth="1" min="2" max="2" width="7.13"/>
    <col customWidth="1" min="3" max="3" width="26.25"/>
    <col customWidth="1" min="4" max="4" width="92.75"/>
    <col customWidth="1" min="5" max="5" width="98.0"/>
    <col customWidth="1" min="6" max="25" width="12.63"/>
  </cols>
  <sheetData>
    <row r="1">
      <c r="A1" s="29" t="s">
        <v>191</v>
      </c>
      <c r="B1" s="29" t="s">
        <v>192</v>
      </c>
      <c r="C1" s="29" t="s">
        <v>193</v>
      </c>
      <c r="D1" s="29" t="s">
        <v>220</v>
      </c>
      <c r="E1" s="29" t="s">
        <v>221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33" t="s">
        <v>222</v>
      </c>
      <c r="B2" s="34">
        <v>0.0</v>
      </c>
      <c r="C2" s="33" t="s">
        <v>223</v>
      </c>
      <c r="D2" s="33" t="s">
        <v>224</v>
      </c>
      <c r="E2" s="33" t="s">
        <v>224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5"/>
    </row>
    <row r="3">
      <c r="A3" s="29" t="s">
        <v>225</v>
      </c>
      <c r="B3" s="13">
        <v>0.0</v>
      </c>
      <c r="C3" s="29" t="s">
        <v>226</v>
      </c>
      <c r="D3" s="29" t="s">
        <v>227</v>
      </c>
      <c r="E3" s="29" t="s">
        <v>228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9" t="s">
        <v>229</v>
      </c>
      <c r="B4" s="13">
        <v>0.0</v>
      </c>
      <c r="C4" s="29" t="s">
        <v>230</v>
      </c>
      <c r="D4" s="29" t="s">
        <v>231</v>
      </c>
      <c r="E4" s="29" t="s">
        <v>232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9" t="s">
        <v>233</v>
      </c>
      <c r="B5" s="13">
        <v>0.0</v>
      </c>
      <c r="C5" s="29" t="s">
        <v>234</v>
      </c>
      <c r="D5" s="29" t="s">
        <v>235</v>
      </c>
      <c r="E5" s="29" t="s">
        <v>236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29" t="s">
        <v>237</v>
      </c>
      <c r="B6" s="13">
        <v>0.0</v>
      </c>
      <c r="C6" s="29" t="s">
        <v>238</v>
      </c>
      <c r="D6" s="29" t="s">
        <v>239</v>
      </c>
      <c r="E6" s="29" t="s">
        <v>240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9" t="s">
        <v>241</v>
      </c>
      <c r="B7" s="13">
        <v>0.0</v>
      </c>
      <c r="C7" s="29" t="s">
        <v>242</v>
      </c>
      <c r="D7" s="29" t="s">
        <v>243</v>
      </c>
      <c r="E7" s="29" t="s">
        <v>244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9" t="s">
        <v>245</v>
      </c>
      <c r="B8" s="13">
        <v>0.0</v>
      </c>
      <c r="C8" s="29" t="s">
        <v>246</v>
      </c>
      <c r="D8" s="29" t="s">
        <v>247</v>
      </c>
      <c r="E8" s="29" t="s">
        <v>248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29" t="s">
        <v>249</v>
      </c>
      <c r="B9" s="13">
        <v>0.0</v>
      </c>
      <c r="C9" s="29" t="s">
        <v>250</v>
      </c>
      <c r="D9" s="29" t="s">
        <v>251</v>
      </c>
      <c r="E9" s="29" t="s">
        <v>252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9" t="s">
        <v>253</v>
      </c>
      <c r="B10" s="13">
        <v>0.0</v>
      </c>
      <c r="C10" s="29" t="s">
        <v>254</v>
      </c>
      <c r="D10" s="29" t="s">
        <v>255</v>
      </c>
      <c r="E10" s="29" t="s">
        <v>256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9" t="s">
        <v>257</v>
      </c>
      <c r="B11" s="13">
        <v>0.0</v>
      </c>
      <c r="C11" s="29" t="s">
        <v>258</v>
      </c>
      <c r="D11" s="29" t="s">
        <v>259</v>
      </c>
      <c r="E11" s="29" t="s">
        <v>260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33" t="s">
        <v>261</v>
      </c>
      <c r="B12" s="34">
        <v>0.0</v>
      </c>
      <c r="C12" s="33" t="s">
        <v>262</v>
      </c>
      <c r="D12" s="33" t="s">
        <v>263</v>
      </c>
      <c r="E12" s="33" t="s">
        <v>264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5"/>
    </row>
    <row r="13">
      <c r="A13" s="29" t="s">
        <v>265</v>
      </c>
      <c r="B13" s="13">
        <v>0.0</v>
      </c>
      <c r="C13" s="29" t="s">
        <v>266</v>
      </c>
      <c r="D13" s="29" t="s">
        <v>267</v>
      </c>
      <c r="E13" s="29" t="s">
        <v>268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29" t="s">
        <v>269</v>
      </c>
      <c r="B14" s="13">
        <v>0.0</v>
      </c>
      <c r="C14" s="29" t="s">
        <v>270</v>
      </c>
      <c r="D14" s="29" t="s">
        <v>271</v>
      </c>
      <c r="E14" s="29" t="s">
        <v>272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29" t="s">
        <v>273</v>
      </c>
      <c r="B15" s="13">
        <v>0.0</v>
      </c>
      <c r="C15" s="29" t="s">
        <v>274</v>
      </c>
      <c r="D15" s="29" t="s">
        <v>275</v>
      </c>
      <c r="E15" s="29" t="s">
        <v>276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9" t="s">
        <v>277</v>
      </c>
      <c r="B16" s="13">
        <v>0.0</v>
      </c>
      <c r="C16" s="29" t="s">
        <v>278</v>
      </c>
      <c r="D16" s="29" t="s">
        <v>279</v>
      </c>
      <c r="E16" s="29" t="s">
        <v>280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29" t="s">
        <v>281</v>
      </c>
      <c r="B17" s="13">
        <v>0.0</v>
      </c>
      <c r="C17" s="29" t="s">
        <v>282</v>
      </c>
      <c r="D17" s="29" t="s">
        <v>283</v>
      </c>
      <c r="E17" s="29" t="s">
        <v>284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29" t="s">
        <v>285</v>
      </c>
      <c r="B18" s="13">
        <v>0.0</v>
      </c>
      <c r="C18" s="29" t="s">
        <v>286</v>
      </c>
      <c r="D18" s="29" t="s">
        <v>287</v>
      </c>
      <c r="E18" s="29" t="s">
        <v>288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29" t="s">
        <v>289</v>
      </c>
      <c r="B19" s="13">
        <v>0.0</v>
      </c>
      <c r="C19" s="29" t="s">
        <v>290</v>
      </c>
      <c r="D19" s="29" t="s">
        <v>291</v>
      </c>
      <c r="E19" s="29" t="s">
        <v>292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29" t="s">
        <v>293</v>
      </c>
      <c r="B20" s="13">
        <v>0.0</v>
      </c>
      <c r="C20" s="29" t="s">
        <v>294</v>
      </c>
      <c r="D20" s="29" t="s">
        <v>295</v>
      </c>
      <c r="E20" s="29" t="s">
        <v>296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9" t="s">
        <v>297</v>
      </c>
      <c r="B21" s="13">
        <v>0.0</v>
      </c>
      <c r="C21" s="29" t="s">
        <v>298</v>
      </c>
      <c r="D21" s="29" t="s">
        <v>299</v>
      </c>
      <c r="E21" s="29" t="s">
        <v>300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9" t="s">
        <v>301</v>
      </c>
      <c r="B22" s="13">
        <v>0.0</v>
      </c>
      <c r="C22" s="29" t="s">
        <v>302</v>
      </c>
      <c r="D22" s="29" t="s">
        <v>303</v>
      </c>
      <c r="E22" s="29" t="s">
        <v>304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29" t="s">
        <v>305</v>
      </c>
      <c r="B23" s="13">
        <v>0.0</v>
      </c>
      <c r="C23" s="29" t="s">
        <v>306</v>
      </c>
      <c r="D23" s="29" t="s">
        <v>307</v>
      </c>
      <c r="E23" s="29" t="s">
        <v>308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29" t="s">
        <v>309</v>
      </c>
      <c r="B24" s="13">
        <v>0.0</v>
      </c>
      <c r="C24" s="29" t="s">
        <v>310</v>
      </c>
      <c r="D24" s="29" t="s">
        <v>311</v>
      </c>
      <c r="E24" s="29" t="s">
        <v>312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9" t="s">
        <v>313</v>
      </c>
      <c r="B25" s="13">
        <v>0.0</v>
      </c>
      <c r="C25" s="29" t="s">
        <v>314</v>
      </c>
      <c r="D25" s="29" t="s">
        <v>315</v>
      </c>
      <c r="E25" s="29" t="s">
        <v>316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33" t="s">
        <v>317</v>
      </c>
      <c r="B26" s="34">
        <v>0.0</v>
      </c>
      <c r="C26" s="33" t="s">
        <v>318</v>
      </c>
      <c r="D26" s="33" t="s">
        <v>319</v>
      </c>
      <c r="E26" s="33" t="s">
        <v>320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5"/>
    </row>
    <row r="27">
      <c r="A27" s="31" t="s">
        <v>321</v>
      </c>
      <c r="B27" s="13">
        <v>0.0</v>
      </c>
      <c r="C27" s="31" t="s">
        <v>322</v>
      </c>
      <c r="D27" s="29" t="s">
        <v>323</v>
      </c>
      <c r="E27" s="29" t="s">
        <v>323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31" t="s">
        <v>324</v>
      </c>
      <c r="B28" s="13">
        <v>0.0</v>
      </c>
      <c r="C28" s="31" t="s">
        <v>325</v>
      </c>
      <c r="D28" s="29" t="s">
        <v>326</v>
      </c>
      <c r="E28" s="29" t="s">
        <v>326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>
      <c r="A29" s="29" t="s">
        <v>327</v>
      </c>
      <c r="B29" s="13">
        <v>0.0</v>
      </c>
      <c r="C29" s="29" t="s">
        <v>328</v>
      </c>
      <c r="D29" s="29" t="s">
        <v>329</v>
      </c>
      <c r="E29" s="29" t="s">
        <v>330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29" t="s">
        <v>331</v>
      </c>
      <c r="B30" s="13">
        <v>0.0</v>
      </c>
      <c r="C30" s="29" t="s">
        <v>332</v>
      </c>
      <c r="D30" s="29" t="s">
        <v>333</v>
      </c>
      <c r="E30" s="29" t="s">
        <v>334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>
      <c r="A31" s="29" t="s">
        <v>335</v>
      </c>
      <c r="B31" s="13">
        <v>0.0</v>
      </c>
      <c r="C31" s="29" t="s">
        <v>336</v>
      </c>
      <c r="D31" s="29" t="s">
        <v>337</v>
      </c>
      <c r="E31" s="29" t="s">
        <v>338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>
      <c r="A32" s="29" t="s">
        <v>339</v>
      </c>
      <c r="B32" s="13">
        <v>0.0</v>
      </c>
      <c r="C32" s="29" t="s">
        <v>340</v>
      </c>
      <c r="D32" s="29" t="s">
        <v>341</v>
      </c>
      <c r="E32" s="29" t="s">
        <v>342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29" t="s">
        <v>343</v>
      </c>
      <c r="B33" s="13">
        <v>0.0</v>
      </c>
      <c r="C33" s="29" t="s">
        <v>344</v>
      </c>
      <c r="D33" s="29" t="s">
        <v>345</v>
      </c>
      <c r="E33" s="29" t="s">
        <v>346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A34" s="29" t="s">
        <v>347</v>
      </c>
      <c r="B34" s="13">
        <v>0.0</v>
      </c>
      <c r="C34" s="29" t="s">
        <v>348</v>
      </c>
      <c r="D34" s="29" t="s">
        <v>349</v>
      </c>
      <c r="E34" s="29" t="s">
        <v>350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A35" s="29" t="s">
        <v>351</v>
      </c>
      <c r="B35" s="13">
        <v>0.0</v>
      </c>
      <c r="C35" s="29" t="s">
        <v>352</v>
      </c>
      <c r="D35" s="29" t="s">
        <v>353</v>
      </c>
      <c r="E35" s="29" t="s">
        <v>354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A36" s="29" t="s">
        <v>355</v>
      </c>
      <c r="B36" s="13">
        <v>0.0</v>
      </c>
      <c r="C36" s="29" t="s">
        <v>356</v>
      </c>
      <c r="D36" s="29" t="s">
        <v>357</v>
      </c>
      <c r="E36" s="29" t="s">
        <v>358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A37" s="29" t="s">
        <v>359</v>
      </c>
      <c r="B37" s="13">
        <v>0.0</v>
      </c>
      <c r="C37" s="29" t="s">
        <v>360</v>
      </c>
      <c r="D37" s="29" t="s">
        <v>361</v>
      </c>
      <c r="E37" s="29" t="s">
        <v>362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A38" s="29" t="s">
        <v>363</v>
      </c>
      <c r="B38" s="13">
        <v>0.0</v>
      </c>
      <c r="C38" s="29" t="s">
        <v>364</v>
      </c>
      <c r="D38" s="29" t="s">
        <v>365</v>
      </c>
      <c r="E38" s="29" t="s">
        <v>366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A39" s="29" t="s">
        <v>367</v>
      </c>
      <c r="B39" s="13">
        <v>0.0</v>
      </c>
      <c r="C39" s="29" t="s">
        <v>368</v>
      </c>
      <c r="D39" s="29" t="s">
        <v>369</v>
      </c>
      <c r="E39" s="29" t="s">
        <v>370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A40" s="29" t="s">
        <v>371</v>
      </c>
      <c r="B40" s="13">
        <v>0.0</v>
      </c>
      <c r="C40" s="29" t="s">
        <v>372</v>
      </c>
      <c r="D40" s="29" t="s">
        <v>373</v>
      </c>
      <c r="E40" s="29" t="s">
        <v>374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A41" s="29" t="s">
        <v>375</v>
      </c>
      <c r="B41" s="13">
        <v>0.0</v>
      </c>
      <c r="C41" s="29" t="s">
        <v>376</v>
      </c>
      <c r="D41" s="29" t="s">
        <v>377</v>
      </c>
      <c r="E41" s="29" t="s">
        <v>378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A42" s="29" t="s">
        <v>379</v>
      </c>
      <c r="B42" s="13">
        <v>0.0</v>
      </c>
      <c r="C42" s="29" t="s">
        <v>380</v>
      </c>
      <c r="D42" s="29" t="s">
        <v>381</v>
      </c>
      <c r="E42" s="29" t="s">
        <v>382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A43" s="29" t="s">
        <v>383</v>
      </c>
      <c r="B43" s="13">
        <v>0.0</v>
      </c>
      <c r="C43" s="29" t="s">
        <v>384</v>
      </c>
      <c r="D43" s="29" t="s">
        <v>385</v>
      </c>
      <c r="E43" s="29" t="s">
        <v>386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A44" s="29" t="s">
        <v>387</v>
      </c>
      <c r="B44" s="13">
        <v>0.0</v>
      </c>
      <c r="C44" s="29" t="s">
        <v>388</v>
      </c>
      <c r="D44" s="29" t="s">
        <v>389</v>
      </c>
      <c r="E44" s="29" t="s">
        <v>390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A45" s="29" t="s">
        <v>391</v>
      </c>
      <c r="B45" s="13">
        <v>0.0</v>
      </c>
      <c r="C45" s="29" t="s">
        <v>392</v>
      </c>
      <c r="D45" s="29" t="s">
        <v>393</v>
      </c>
      <c r="E45" s="29" t="s">
        <v>394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A46" s="29" t="s">
        <v>395</v>
      </c>
      <c r="B46" s="13">
        <v>0.0</v>
      </c>
      <c r="C46" s="29" t="s">
        <v>396</v>
      </c>
      <c r="D46" s="29" t="s">
        <v>397</v>
      </c>
      <c r="E46" s="29" t="s">
        <v>398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A47" s="29" t="s">
        <v>399</v>
      </c>
      <c r="B47" s="13">
        <v>0.0</v>
      </c>
      <c r="C47" s="29" t="s">
        <v>400</v>
      </c>
      <c r="D47" s="29" t="s">
        <v>401</v>
      </c>
      <c r="E47" s="29" t="s">
        <v>402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29" t="s">
        <v>403</v>
      </c>
      <c r="B48" s="13">
        <v>0.0</v>
      </c>
      <c r="C48" s="29" t="s">
        <v>404</v>
      </c>
      <c r="D48" s="29" t="s">
        <v>405</v>
      </c>
      <c r="E48" s="29" t="s">
        <v>406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A49" s="29" t="s">
        <v>407</v>
      </c>
      <c r="B49" s="13">
        <v>0.0</v>
      </c>
      <c r="C49" s="29" t="s">
        <v>408</v>
      </c>
      <c r="D49" s="29" t="s">
        <v>31</v>
      </c>
      <c r="E49" s="29" t="s">
        <v>409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9" t="s">
        <v>410</v>
      </c>
      <c r="B50" s="13">
        <v>0.0</v>
      </c>
      <c r="C50" s="29" t="s">
        <v>411</v>
      </c>
      <c r="D50" s="29" t="s">
        <v>247</v>
      </c>
      <c r="E50" s="29" t="s">
        <v>248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9" t="s">
        <v>412</v>
      </c>
      <c r="B51" s="13">
        <v>0.0</v>
      </c>
      <c r="C51" s="29" t="s">
        <v>413</v>
      </c>
      <c r="D51" s="29" t="s">
        <v>414</v>
      </c>
      <c r="E51" s="29" t="s">
        <v>415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A52" s="29" t="s">
        <v>416</v>
      </c>
      <c r="B52" s="13">
        <v>0.0</v>
      </c>
      <c r="C52" s="29" t="s">
        <v>417</v>
      </c>
      <c r="D52" s="29" t="s">
        <v>418</v>
      </c>
      <c r="E52" s="29" t="s">
        <v>419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29" t="s">
        <v>420</v>
      </c>
      <c r="B53" s="13">
        <v>0.0</v>
      </c>
      <c r="C53" s="29" t="s">
        <v>421</v>
      </c>
      <c r="D53" s="29" t="s">
        <v>422</v>
      </c>
      <c r="E53" s="29" t="s">
        <v>423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29" t="s">
        <v>424</v>
      </c>
      <c r="B54" s="13">
        <v>0.0</v>
      </c>
      <c r="C54" s="29" t="s">
        <v>425</v>
      </c>
      <c r="D54" s="29" t="s">
        <v>426</v>
      </c>
      <c r="E54" s="29" t="s">
        <v>427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9" t="s">
        <v>428</v>
      </c>
      <c r="B55" s="13">
        <v>0.0</v>
      </c>
      <c r="C55" s="29" t="s">
        <v>429</v>
      </c>
      <c r="D55" s="29" t="s">
        <v>430</v>
      </c>
      <c r="E55" s="29" t="s">
        <v>431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9" t="s">
        <v>432</v>
      </c>
      <c r="B56" s="13">
        <v>0.0</v>
      </c>
      <c r="C56" s="29" t="s">
        <v>433</v>
      </c>
      <c r="D56" s="29" t="s">
        <v>40</v>
      </c>
      <c r="E56" s="29" t="s">
        <v>434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A57" s="29" t="s">
        <v>435</v>
      </c>
      <c r="B57" s="13">
        <v>0.0</v>
      </c>
      <c r="C57" s="29" t="s">
        <v>436</v>
      </c>
      <c r="D57" s="29" t="s">
        <v>437</v>
      </c>
      <c r="E57" s="29" t="s">
        <v>438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29" t="s">
        <v>439</v>
      </c>
      <c r="B58" s="13">
        <v>0.0</v>
      </c>
      <c r="C58" s="29" t="s">
        <v>440</v>
      </c>
      <c r="D58" s="29" t="s">
        <v>17</v>
      </c>
      <c r="E58" s="29" t="s">
        <v>441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A59" s="29" t="s">
        <v>442</v>
      </c>
      <c r="B59" s="13">
        <v>0.0</v>
      </c>
      <c r="C59" s="29" t="s">
        <v>443</v>
      </c>
      <c r="D59" s="29" t="s">
        <v>81</v>
      </c>
      <c r="E59" s="29" t="s">
        <v>444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29" t="s">
        <v>445</v>
      </c>
      <c r="B60" s="13">
        <v>0.0</v>
      </c>
      <c r="C60" s="29" t="s">
        <v>446</v>
      </c>
      <c r="D60" s="29" t="s">
        <v>84</v>
      </c>
      <c r="E60" s="29" t="s">
        <v>447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A61" s="29" t="s">
        <v>448</v>
      </c>
      <c r="B61" s="13">
        <v>0.0</v>
      </c>
      <c r="C61" s="29" t="s">
        <v>449</v>
      </c>
      <c r="D61" s="29" t="s">
        <v>450</v>
      </c>
      <c r="E61" s="29" t="s">
        <v>451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29" t="s">
        <v>452</v>
      </c>
      <c r="B62" s="13">
        <v>0.0</v>
      </c>
      <c r="C62" s="29" t="s">
        <v>453</v>
      </c>
      <c r="D62" s="29" t="s">
        <v>454</v>
      </c>
      <c r="E62" s="29" t="s">
        <v>455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A63" s="29" t="s">
        <v>456</v>
      </c>
      <c r="B63" s="13">
        <v>0.0</v>
      </c>
      <c r="C63" s="29" t="s">
        <v>457</v>
      </c>
      <c r="D63" s="29" t="s">
        <v>458</v>
      </c>
      <c r="E63" s="29" t="s">
        <v>459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29" t="s">
        <v>460</v>
      </c>
      <c r="B64" s="13">
        <v>0.0</v>
      </c>
      <c r="C64" s="29" t="s">
        <v>461</v>
      </c>
      <c r="D64" s="29" t="s">
        <v>462</v>
      </c>
      <c r="E64" s="29" t="s">
        <v>463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A65" s="29" t="s">
        <v>464</v>
      </c>
      <c r="B65" s="13">
        <v>0.0</v>
      </c>
      <c r="C65" s="29" t="s">
        <v>465</v>
      </c>
      <c r="D65" s="29" t="s">
        <v>466</v>
      </c>
      <c r="E65" s="29" t="s">
        <v>467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29" t="s">
        <v>468</v>
      </c>
      <c r="B66" s="13">
        <v>0.0</v>
      </c>
      <c r="C66" s="29" t="s">
        <v>469</v>
      </c>
      <c r="D66" s="29" t="s">
        <v>470</v>
      </c>
      <c r="E66" s="29" t="s">
        <v>471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A67" s="29" t="s">
        <v>472</v>
      </c>
      <c r="B67" s="13">
        <v>0.0</v>
      </c>
      <c r="C67" s="29" t="s">
        <v>473</v>
      </c>
      <c r="D67" s="29" t="s">
        <v>474</v>
      </c>
      <c r="E67" s="29" t="s">
        <v>475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29" t="s">
        <v>476</v>
      </c>
      <c r="B68" s="13">
        <v>0.0</v>
      </c>
      <c r="C68" s="29" t="s">
        <v>477</v>
      </c>
      <c r="D68" s="29" t="s">
        <v>478</v>
      </c>
      <c r="E68" s="29" t="s">
        <v>479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A69" s="29" t="s">
        <v>480</v>
      </c>
      <c r="B69" s="13">
        <v>0.0</v>
      </c>
      <c r="C69" s="29" t="s">
        <v>481</v>
      </c>
      <c r="D69" s="29" t="s">
        <v>482</v>
      </c>
      <c r="E69" s="29" t="s">
        <v>483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9" t="s">
        <v>484</v>
      </c>
      <c r="B70" s="13">
        <v>0.0</v>
      </c>
      <c r="C70" s="29" t="s">
        <v>485</v>
      </c>
      <c r="D70" s="29" t="s">
        <v>486</v>
      </c>
      <c r="E70" s="29" t="s">
        <v>487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A71" s="29" t="s">
        <v>488</v>
      </c>
      <c r="B71" s="13">
        <v>0.0</v>
      </c>
      <c r="C71" s="29" t="s">
        <v>489</v>
      </c>
      <c r="D71" s="29" t="s">
        <v>490</v>
      </c>
      <c r="E71" s="29" t="s">
        <v>491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29" t="s">
        <v>492</v>
      </c>
      <c r="B72" s="13">
        <v>0.0</v>
      </c>
      <c r="C72" s="29" t="s">
        <v>493</v>
      </c>
      <c r="D72" s="29" t="s">
        <v>494</v>
      </c>
      <c r="E72" s="29" t="s">
        <v>495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29" t="s">
        <v>496</v>
      </c>
      <c r="B73" s="13">
        <v>0.0</v>
      </c>
      <c r="C73" s="29" t="s">
        <v>497</v>
      </c>
      <c r="D73" s="29" t="s">
        <v>498</v>
      </c>
      <c r="E73" s="29" t="s">
        <v>499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29" t="s">
        <v>500</v>
      </c>
      <c r="B74" s="13">
        <v>0.0</v>
      </c>
      <c r="C74" s="29" t="s">
        <v>501</v>
      </c>
      <c r="D74" s="29" t="s">
        <v>502</v>
      </c>
      <c r="E74" s="29" t="s">
        <v>503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9" t="s">
        <v>504</v>
      </c>
      <c r="B75" s="13">
        <v>0.0</v>
      </c>
      <c r="C75" s="29" t="s">
        <v>505</v>
      </c>
      <c r="D75" s="29" t="s">
        <v>506</v>
      </c>
      <c r="E75" s="29" t="s">
        <v>507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33" t="s">
        <v>508</v>
      </c>
      <c r="B76" s="34">
        <v>0.0</v>
      </c>
      <c r="C76" s="33" t="s">
        <v>509</v>
      </c>
      <c r="D76" s="33" t="s">
        <v>510</v>
      </c>
      <c r="E76" s="33" t="s">
        <v>511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5"/>
    </row>
    <row r="77" ht="15.75" customHeight="1">
      <c r="A77" s="29" t="s">
        <v>512</v>
      </c>
      <c r="B77" s="13">
        <v>0.0</v>
      </c>
      <c r="C77" s="29" t="s">
        <v>513</v>
      </c>
      <c r="D77" s="29" t="s">
        <v>514</v>
      </c>
      <c r="E77" s="29" t="s">
        <v>515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29" t="s">
        <v>516</v>
      </c>
      <c r="B78" s="13">
        <v>0.0</v>
      </c>
      <c r="C78" s="29" t="s">
        <v>517</v>
      </c>
      <c r="D78" s="29" t="s">
        <v>518</v>
      </c>
      <c r="E78" s="29" t="s">
        <v>519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A79" s="29" t="s">
        <v>520</v>
      </c>
      <c r="B79" s="13">
        <v>0.0</v>
      </c>
      <c r="C79" s="29" t="s">
        <v>521</v>
      </c>
      <c r="D79" s="29" t="s">
        <v>522</v>
      </c>
      <c r="E79" s="29" t="s">
        <v>523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29" t="s">
        <v>524</v>
      </c>
      <c r="B80" s="13">
        <v>0.0</v>
      </c>
      <c r="C80" s="29" t="s">
        <v>525</v>
      </c>
      <c r="D80" s="29" t="s">
        <v>526</v>
      </c>
      <c r="E80" s="29" t="s">
        <v>527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A81" s="31" t="s">
        <v>528</v>
      </c>
      <c r="B81" s="13">
        <v>0.0</v>
      </c>
      <c r="C81" s="31" t="s">
        <v>529</v>
      </c>
      <c r="D81" s="31" t="s">
        <v>530</v>
      </c>
      <c r="E81" s="31" t="s">
        <v>531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30" t="s">
        <v>532</v>
      </c>
      <c r="B82" s="30">
        <v>0.0</v>
      </c>
      <c r="C82" s="30" t="s">
        <v>533</v>
      </c>
      <c r="D82" s="30" t="s">
        <v>534</v>
      </c>
      <c r="E82" s="31" t="s">
        <v>535</v>
      </c>
    </row>
    <row r="83" ht="15.75" customHeight="1">
      <c r="A83" s="29" t="s">
        <v>536</v>
      </c>
      <c r="B83" s="13">
        <v>0.0</v>
      </c>
      <c r="C83" s="29" t="s">
        <v>537</v>
      </c>
      <c r="D83" s="29" t="s">
        <v>538</v>
      </c>
      <c r="E83" s="29" t="s">
        <v>539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29" t="s">
        <v>540</v>
      </c>
      <c r="B84" s="13">
        <v>0.0</v>
      </c>
      <c r="C84" s="29" t="s">
        <v>541</v>
      </c>
      <c r="D84" s="29" t="s">
        <v>542</v>
      </c>
      <c r="E84" s="29" t="s">
        <v>543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A85" s="29" t="s">
        <v>544</v>
      </c>
      <c r="B85" s="13">
        <v>0.0</v>
      </c>
      <c r="C85" s="29" t="s">
        <v>545</v>
      </c>
      <c r="D85" s="29" t="s">
        <v>546</v>
      </c>
      <c r="E85" s="29" t="s">
        <v>547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91" ht="15.75" customHeight="1"/>
    <row r="92" ht="15.75" customHeight="1">
      <c r="A92" s="29"/>
      <c r="B92" s="13"/>
      <c r="C92" s="29"/>
      <c r="D92" s="29"/>
      <c r="E92" s="29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29"/>
      <c r="B93" s="13"/>
      <c r="C93" s="29"/>
      <c r="D93" s="29"/>
      <c r="E93" s="29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29"/>
      <c r="B94" s="13"/>
      <c r="C94" s="29"/>
      <c r="D94" s="29"/>
      <c r="E94" s="29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29"/>
      <c r="B95" s="13"/>
      <c r="C95" s="29"/>
      <c r="D95" s="29"/>
      <c r="E95" s="29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29"/>
      <c r="B96" s="13"/>
      <c r="C96" s="29"/>
      <c r="D96" s="29"/>
      <c r="E96" s="29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29"/>
      <c r="B97" s="13"/>
      <c r="C97" s="29"/>
      <c r="D97" s="29"/>
      <c r="E97" s="29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29"/>
      <c r="B98" s="13"/>
      <c r="C98" s="29"/>
      <c r="D98" s="29"/>
      <c r="E98" s="29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29"/>
      <c r="B99" s="13"/>
      <c r="C99" s="29"/>
      <c r="D99" s="29"/>
      <c r="E99" s="29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29"/>
      <c r="B100" s="13"/>
      <c r="C100" s="29"/>
      <c r="D100" s="29"/>
      <c r="E100" s="29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29"/>
      <c r="B101" s="13"/>
      <c r="C101" s="29"/>
      <c r="D101" s="29"/>
      <c r="E101" s="29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29"/>
      <c r="B102" s="13"/>
      <c r="C102" s="29"/>
      <c r="D102" s="29"/>
      <c r="E102" s="29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29"/>
      <c r="B103" s="13"/>
      <c r="C103" s="29"/>
      <c r="D103" s="29"/>
      <c r="E103" s="29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29"/>
      <c r="B104" s="13"/>
      <c r="C104" s="29"/>
      <c r="D104" s="29"/>
      <c r="E104" s="29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29"/>
      <c r="B105" s="13"/>
      <c r="C105" s="29"/>
      <c r="D105" s="29"/>
      <c r="E105" s="29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29"/>
      <c r="B106" s="13"/>
      <c r="C106" s="29"/>
      <c r="D106" s="29"/>
      <c r="E106" s="29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29"/>
      <c r="B107" s="13"/>
      <c r="C107" s="29"/>
      <c r="D107" s="29"/>
      <c r="E107" s="29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29"/>
      <c r="B108" s="13"/>
      <c r="C108" s="29"/>
      <c r="D108" s="29"/>
      <c r="E108" s="29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29"/>
      <c r="B109" s="13"/>
      <c r="C109" s="29"/>
      <c r="D109" s="29"/>
      <c r="E109" s="29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9"/>
      <c r="B110" s="13"/>
      <c r="C110" s="29"/>
      <c r="D110" s="29"/>
      <c r="E110" s="29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29"/>
      <c r="B111" s="13"/>
      <c r="C111" s="29"/>
      <c r="D111" s="29"/>
      <c r="E111" s="29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29"/>
      <c r="B112" s="13"/>
      <c r="C112" s="29"/>
      <c r="D112" s="29"/>
      <c r="E112" s="29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29"/>
      <c r="B113" s="13"/>
      <c r="C113" s="29"/>
      <c r="D113" s="29"/>
      <c r="E113" s="29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29"/>
      <c r="B114" s="13"/>
      <c r="C114" s="29"/>
      <c r="D114" s="29"/>
      <c r="E114" s="29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9"/>
      <c r="B115" s="13"/>
      <c r="C115" s="29"/>
      <c r="D115" s="29"/>
      <c r="E115" s="29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29"/>
      <c r="B116" s="13"/>
      <c r="C116" s="29"/>
      <c r="D116" s="29"/>
      <c r="E116" s="29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9"/>
      <c r="B117" s="13"/>
      <c r="C117" s="29"/>
      <c r="D117" s="29"/>
      <c r="E117" s="29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29"/>
      <c r="B118" s="13"/>
      <c r="C118" s="29"/>
      <c r="D118" s="29"/>
      <c r="E118" s="29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29"/>
      <c r="B119" s="13"/>
      <c r="C119" s="29"/>
      <c r="D119" s="29"/>
      <c r="E119" s="29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9"/>
      <c r="B120" s="13"/>
      <c r="C120" s="29"/>
      <c r="D120" s="29"/>
      <c r="E120" s="29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29"/>
      <c r="B121" s="13"/>
      <c r="C121" s="29"/>
      <c r="D121" s="29"/>
      <c r="E121" s="29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29"/>
      <c r="B122" s="13"/>
      <c r="C122" s="29"/>
      <c r="D122" s="29"/>
      <c r="E122" s="29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29"/>
      <c r="B123" s="13"/>
      <c r="C123" s="29"/>
      <c r="D123" s="29"/>
      <c r="E123" s="29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29"/>
      <c r="B124" s="13"/>
      <c r="C124" s="29"/>
      <c r="D124" s="29"/>
      <c r="E124" s="29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9"/>
      <c r="B125" s="13"/>
      <c r="C125" s="29"/>
      <c r="D125" s="29"/>
      <c r="E125" s="29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29"/>
      <c r="B126" s="13"/>
      <c r="C126" s="29"/>
      <c r="D126" s="29"/>
      <c r="E126" s="29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29"/>
      <c r="B127" s="13"/>
      <c r="C127" s="29"/>
      <c r="D127" s="29"/>
      <c r="E127" s="29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9"/>
      <c r="B128" s="13"/>
      <c r="C128" s="29"/>
      <c r="D128" s="29"/>
      <c r="E128" s="29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9"/>
      <c r="B129" s="13"/>
      <c r="C129" s="29"/>
      <c r="D129" s="29"/>
      <c r="E129" s="29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9"/>
      <c r="B130" s="13"/>
      <c r="C130" s="29"/>
      <c r="D130" s="29"/>
      <c r="E130" s="29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9"/>
      <c r="B131" s="13"/>
      <c r="C131" s="29"/>
      <c r="D131" s="29"/>
      <c r="E131" s="29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29"/>
      <c r="B132" s="13"/>
      <c r="C132" s="29"/>
      <c r="D132" s="29"/>
      <c r="E132" s="29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29"/>
      <c r="B133" s="13"/>
      <c r="C133" s="29"/>
      <c r="D133" s="29"/>
      <c r="E133" s="29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9"/>
      <c r="B134" s="13"/>
      <c r="C134" s="29"/>
      <c r="D134" s="29"/>
      <c r="E134" s="29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29"/>
      <c r="B135" s="13"/>
      <c r="C135" s="29"/>
      <c r="D135" s="29"/>
      <c r="E135" s="29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29"/>
      <c r="B136" s="13"/>
      <c r="C136" s="29"/>
      <c r="D136" s="29"/>
      <c r="E136" s="29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29"/>
      <c r="B137" s="13"/>
      <c r="C137" s="29"/>
      <c r="D137" s="29"/>
      <c r="E137" s="29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29"/>
      <c r="B138" s="13"/>
      <c r="C138" s="29"/>
      <c r="D138" s="29"/>
      <c r="E138" s="29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9"/>
      <c r="B139" s="13"/>
      <c r="C139" s="29"/>
      <c r="D139" s="29"/>
      <c r="E139" s="29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29"/>
      <c r="B140" s="13"/>
      <c r="C140" s="29"/>
      <c r="D140" s="29"/>
      <c r="E140" s="29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29"/>
      <c r="B141" s="13"/>
      <c r="C141" s="29"/>
      <c r="D141" s="29"/>
      <c r="E141" s="29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29"/>
      <c r="B142" s="13"/>
      <c r="C142" s="29"/>
      <c r="D142" s="29"/>
      <c r="E142" s="29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9"/>
      <c r="B143" s="13"/>
      <c r="C143" s="29"/>
      <c r="D143" s="29"/>
      <c r="E143" s="29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29"/>
      <c r="B144" s="13"/>
      <c r="C144" s="29"/>
      <c r="D144" s="29"/>
      <c r="E144" s="29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29"/>
      <c r="B145" s="13"/>
      <c r="C145" s="29"/>
      <c r="D145" s="29"/>
      <c r="E145" s="29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9"/>
      <c r="B146" s="13"/>
      <c r="C146" s="29"/>
      <c r="D146" s="29"/>
      <c r="E146" s="29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29"/>
      <c r="B147" s="13"/>
      <c r="C147" s="29"/>
      <c r="D147" s="29"/>
      <c r="E147" s="29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29"/>
      <c r="B148" s="13"/>
      <c r="C148" s="29"/>
      <c r="D148" s="29"/>
      <c r="E148" s="29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9"/>
      <c r="B149" s="13"/>
      <c r="C149" s="29"/>
      <c r="D149" s="29"/>
      <c r="E149" s="29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9"/>
      <c r="B150" s="13"/>
      <c r="C150" s="29"/>
      <c r="D150" s="29"/>
      <c r="E150" s="29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29"/>
      <c r="B151" s="13"/>
      <c r="C151" s="29"/>
      <c r="D151" s="29"/>
      <c r="E151" s="29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29"/>
      <c r="B152" s="13"/>
      <c r="C152" s="29"/>
      <c r="D152" s="29"/>
      <c r="E152" s="29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29"/>
      <c r="B153" s="13"/>
      <c r="C153" s="29"/>
      <c r="D153" s="29"/>
      <c r="E153" s="29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9"/>
      <c r="B154" s="13"/>
      <c r="C154" s="29"/>
      <c r="D154" s="29"/>
      <c r="E154" s="29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29"/>
      <c r="B155" s="13"/>
      <c r="C155" s="29"/>
      <c r="D155" s="29"/>
      <c r="E155" s="29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29"/>
      <c r="B156" s="13"/>
      <c r="C156" s="29"/>
      <c r="D156" s="29"/>
      <c r="E156" s="29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9"/>
      <c r="B157" s="13"/>
      <c r="C157" s="29"/>
      <c r="D157" s="29"/>
      <c r="E157" s="29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29"/>
      <c r="B158" s="13"/>
      <c r="C158" s="29"/>
      <c r="D158" s="29"/>
      <c r="E158" s="29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29"/>
      <c r="B159" s="13"/>
      <c r="C159" s="29"/>
      <c r="D159" s="29"/>
      <c r="E159" s="29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9"/>
      <c r="B160" s="13"/>
      <c r="C160" s="29"/>
      <c r="D160" s="29"/>
      <c r="E160" s="29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9"/>
      <c r="B161" s="13"/>
      <c r="C161" s="29"/>
      <c r="D161" s="29"/>
      <c r="E161" s="29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29"/>
      <c r="B162" s="13"/>
      <c r="C162" s="29"/>
      <c r="D162" s="29"/>
      <c r="E162" s="29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29"/>
      <c r="B163" s="13"/>
      <c r="C163" s="29"/>
      <c r="D163" s="29"/>
      <c r="E163" s="29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29"/>
      <c r="B164" s="13"/>
      <c r="C164" s="29"/>
      <c r="D164" s="29"/>
      <c r="E164" s="29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9"/>
      <c r="B165" s="13"/>
      <c r="C165" s="29"/>
      <c r="D165" s="29"/>
      <c r="E165" s="29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9"/>
      <c r="B166" s="13"/>
      <c r="C166" s="29"/>
      <c r="D166" s="29"/>
      <c r="E166" s="29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9"/>
      <c r="B167" s="13"/>
      <c r="C167" s="29"/>
      <c r="D167" s="29"/>
      <c r="E167" s="29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29"/>
      <c r="B168" s="13"/>
      <c r="C168" s="29"/>
      <c r="D168" s="29"/>
      <c r="E168" s="29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29"/>
      <c r="B169" s="13"/>
      <c r="C169" s="29"/>
      <c r="D169" s="29"/>
      <c r="E169" s="29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9"/>
      <c r="B170" s="13"/>
      <c r="C170" s="29"/>
      <c r="D170" s="29"/>
      <c r="E170" s="29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9"/>
      <c r="B171" s="13"/>
      <c r="C171" s="29"/>
      <c r="D171" s="29"/>
      <c r="E171" s="29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9"/>
      <c r="B172" s="13"/>
      <c r="C172" s="29"/>
      <c r="D172" s="29"/>
      <c r="E172" s="29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29"/>
      <c r="B173" s="13"/>
      <c r="C173" s="29"/>
      <c r="D173" s="29"/>
      <c r="E173" s="29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29"/>
      <c r="B174" s="13"/>
      <c r="C174" s="29"/>
      <c r="D174" s="29"/>
      <c r="E174" s="29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9"/>
      <c r="B175" s="13"/>
      <c r="C175" s="29"/>
      <c r="D175" s="29"/>
      <c r="E175" s="29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9"/>
      <c r="B176" s="13"/>
      <c r="C176" s="29"/>
      <c r="D176" s="29"/>
      <c r="E176" s="29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9"/>
      <c r="B177" s="13"/>
      <c r="C177" s="29"/>
      <c r="D177" s="29"/>
      <c r="E177" s="29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29"/>
      <c r="B178" s="13"/>
      <c r="C178" s="29"/>
      <c r="D178" s="29"/>
      <c r="E178" s="29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29"/>
      <c r="B179" s="13"/>
      <c r="C179" s="29"/>
      <c r="D179" s="29"/>
      <c r="E179" s="29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29"/>
      <c r="B180" s="13"/>
      <c r="C180" s="29"/>
      <c r="D180" s="29"/>
      <c r="E180" s="29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29"/>
      <c r="B181" s="13"/>
      <c r="C181" s="29"/>
      <c r="D181" s="29"/>
      <c r="E181" s="29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29"/>
      <c r="B182" s="13"/>
      <c r="C182" s="29"/>
      <c r="D182" s="29"/>
      <c r="E182" s="29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9"/>
      <c r="B183" s="13"/>
      <c r="C183" s="29"/>
      <c r="D183" s="29"/>
      <c r="E183" s="29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29"/>
      <c r="B184" s="13"/>
      <c r="C184" s="29"/>
      <c r="D184" s="29"/>
      <c r="E184" s="29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29"/>
      <c r="B185" s="13"/>
      <c r="C185" s="29"/>
      <c r="D185" s="29"/>
      <c r="E185" s="29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9"/>
      <c r="B186" s="13"/>
      <c r="C186" s="29"/>
      <c r="D186" s="29"/>
      <c r="E186" s="29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29"/>
      <c r="B187" s="13"/>
      <c r="C187" s="29"/>
      <c r="D187" s="29"/>
      <c r="E187" s="29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29"/>
      <c r="B188" s="13"/>
      <c r="C188" s="29"/>
      <c r="D188" s="29"/>
      <c r="E188" s="29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9"/>
      <c r="B189" s="13"/>
      <c r="C189" s="29"/>
      <c r="D189" s="29"/>
      <c r="E189" s="29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29"/>
      <c r="B190" s="13"/>
      <c r="C190" s="29"/>
      <c r="D190" s="29"/>
      <c r="E190" s="29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29"/>
      <c r="B191" s="13"/>
      <c r="C191" s="29"/>
      <c r="D191" s="29"/>
      <c r="E191" s="29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9"/>
      <c r="B192" s="13"/>
      <c r="C192" s="29"/>
      <c r="D192" s="29"/>
      <c r="E192" s="29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29"/>
      <c r="B193" s="13"/>
      <c r="C193" s="29"/>
      <c r="D193" s="29"/>
      <c r="E193" s="29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29"/>
      <c r="B194" s="13"/>
      <c r="C194" s="29"/>
      <c r="D194" s="29"/>
      <c r="E194" s="29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29"/>
      <c r="B195" s="13"/>
      <c r="C195" s="29"/>
      <c r="D195" s="29"/>
      <c r="E195" s="29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29"/>
      <c r="B196" s="13"/>
      <c r="C196" s="29"/>
      <c r="D196" s="29"/>
      <c r="E196" s="29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29"/>
      <c r="B197" s="13"/>
      <c r="C197" s="29"/>
      <c r="D197" s="29"/>
      <c r="E197" s="29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29"/>
      <c r="B198" s="13"/>
      <c r="C198" s="29"/>
      <c r="D198" s="29"/>
      <c r="E198" s="29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29"/>
      <c r="B199" s="13"/>
      <c r="C199" s="29"/>
      <c r="D199" s="29"/>
      <c r="E199" s="29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29"/>
      <c r="B200" s="13"/>
      <c r="C200" s="29"/>
      <c r="D200" s="29"/>
      <c r="E200" s="29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9"/>
      <c r="B201" s="13"/>
      <c r="C201" s="29"/>
      <c r="D201" s="29"/>
      <c r="E201" s="29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29"/>
      <c r="B202" s="13"/>
      <c r="C202" s="29"/>
      <c r="D202" s="29"/>
      <c r="E202" s="29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29"/>
      <c r="B203" s="13"/>
      <c r="C203" s="29"/>
      <c r="D203" s="29"/>
      <c r="E203" s="29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29"/>
      <c r="B204" s="13"/>
      <c r="C204" s="29"/>
      <c r="D204" s="29"/>
      <c r="E204" s="29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29"/>
      <c r="B205" s="13"/>
      <c r="C205" s="29"/>
      <c r="D205" s="29"/>
      <c r="E205" s="29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29"/>
      <c r="B206" s="13"/>
      <c r="C206" s="29"/>
      <c r="D206" s="29"/>
      <c r="E206" s="29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29"/>
      <c r="B207" s="13"/>
      <c r="C207" s="29"/>
      <c r="D207" s="29"/>
      <c r="E207" s="29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29"/>
      <c r="B208" s="13"/>
      <c r="C208" s="29"/>
      <c r="D208" s="29"/>
      <c r="E208" s="29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29"/>
      <c r="B209" s="13"/>
      <c r="C209" s="29"/>
      <c r="D209" s="29"/>
      <c r="E209" s="29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29"/>
      <c r="B210" s="13"/>
      <c r="C210" s="29"/>
      <c r="D210" s="29"/>
      <c r="E210" s="29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29"/>
      <c r="B211" s="13"/>
      <c r="C211" s="29"/>
      <c r="D211" s="29"/>
      <c r="E211" s="29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29"/>
      <c r="B212" s="13"/>
      <c r="C212" s="29"/>
      <c r="D212" s="29"/>
      <c r="E212" s="29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29"/>
      <c r="B213" s="13"/>
      <c r="C213" s="29"/>
      <c r="D213" s="29"/>
      <c r="E213" s="29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29"/>
      <c r="B214" s="13"/>
      <c r="C214" s="29"/>
      <c r="D214" s="29"/>
      <c r="E214" s="29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29"/>
      <c r="B215" s="13"/>
      <c r="C215" s="29"/>
      <c r="D215" s="29"/>
      <c r="E215" s="29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29"/>
      <c r="B216" s="13"/>
      <c r="C216" s="29"/>
      <c r="D216" s="29"/>
      <c r="E216" s="29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29"/>
      <c r="B217" s="13"/>
      <c r="C217" s="29"/>
      <c r="D217" s="29"/>
      <c r="E217" s="29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29"/>
      <c r="B218" s="13"/>
      <c r="C218" s="29"/>
      <c r="D218" s="29"/>
      <c r="E218" s="29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29"/>
      <c r="B219" s="13"/>
      <c r="C219" s="29"/>
      <c r="D219" s="29"/>
      <c r="E219" s="29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29"/>
      <c r="B220" s="13"/>
      <c r="C220" s="29"/>
      <c r="D220" s="29"/>
      <c r="E220" s="29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>
      <c r="A221" s="29"/>
      <c r="B221" s="13"/>
      <c r="C221" s="29"/>
      <c r="D221" s="29"/>
      <c r="E221" s="29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>
      <c r="A222" s="29"/>
      <c r="B222" s="13"/>
      <c r="C222" s="29"/>
      <c r="D222" s="29"/>
      <c r="E222" s="29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5.75" customHeight="1">
      <c r="A223" s="29"/>
      <c r="B223" s="13"/>
      <c r="C223" s="29"/>
      <c r="D223" s="29"/>
      <c r="E223" s="29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>
      <c r="A224" s="29"/>
      <c r="B224" s="13"/>
      <c r="C224" s="29"/>
      <c r="D224" s="29"/>
      <c r="E224" s="29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5.75" customHeight="1">
      <c r="A225" s="29"/>
      <c r="B225" s="13"/>
      <c r="C225" s="29"/>
      <c r="D225" s="29"/>
      <c r="E225" s="29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>
      <c r="A226" s="29"/>
      <c r="B226" s="13"/>
      <c r="C226" s="29"/>
      <c r="D226" s="29"/>
      <c r="E226" s="29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5.75" customHeight="1">
      <c r="A227" s="29"/>
      <c r="B227" s="13"/>
      <c r="C227" s="29"/>
      <c r="D227" s="29"/>
      <c r="E227" s="29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>
      <c r="A228" s="29"/>
      <c r="B228" s="13"/>
      <c r="C228" s="29"/>
      <c r="D228" s="29"/>
      <c r="E228" s="29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5.75" customHeight="1">
      <c r="A229" s="29"/>
      <c r="B229" s="13"/>
      <c r="C229" s="29"/>
      <c r="D229" s="29"/>
      <c r="E229" s="29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>
      <c r="A230" s="29"/>
      <c r="B230" s="13"/>
      <c r="C230" s="29"/>
      <c r="D230" s="29"/>
      <c r="E230" s="29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9"/>
      <c r="B231" s="13"/>
      <c r="C231" s="29"/>
      <c r="D231" s="29"/>
      <c r="E231" s="29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29"/>
      <c r="B232" s="13"/>
      <c r="C232" s="29"/>
      <c r="D232" s="29"/>
      <c r="E232" s="29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5.75" customHeight="1">
      <c r="A233" s="29"/>
      <c r="B233" s="13"/>
      <c r="C233" s="29"/>
      <c r="D233" s="29"/>
      <c r="E233" s="29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9"/>
      <c r="B234" s="13"/>
      <c r="C234" s="29"/>
      <c r="D234" s="29"/>
      <c r="E234" s="29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5.75" customHeight="1">
      <c r="A235" s="29"/>
      <c r="B235" s="13"/>
      <c r="C235" s="29"/>
      <c r="D235" s="29"/>
      <c r="E235" s="29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>
      <c r="A236" s="29"/>
      <c r="B236" s="13"/>
      <c r="C236" s="29"/>
      <c r="D236" s="29"/>
      <c r="E236" s="29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29"/>
      <c r="B237" s="13"/>
      <c r="C237" s="29"/>
      <c r="D237" s="29"/>
      <c r="E237" s="29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5.75" customHeight="1">
      <c r="A238" s="29"/>
      <c r="B238" s="13"/>
      <c r="C238" s="29"/>
      <c r="D238" s="29"/>
      <c r="E238" s="29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9"/>
      <c r="B239" s="13"/>
      <c r="C239" s="29"/>
      <c r="D239" s="29"/>
      <c r="E239" s="29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>
      <c r="A240" s="29"/>
      <c r="B240" s="13"/>
      <c r="C240" s="29"/>
      <c r="D240" s="29"/>
      <c r="E240" s="29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>
      <c r="A241" s="29"/>
      <c r="B241" s="13"/>
      <c r="C241" s="29"/>
      <c r="D241" s="29"/>
      <c r="E241" s="29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29"/>
      <c r="B242" s="13"/>
      <c r="C242" s="29"/>
      <c r="D242" s="29"/>
      <c r="E242" s="29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5.75" customHeight="1">
      <c r="A243" s="29"/>
      <c r="B243" s="13"/>
      <c r="C243" s="29"/>
      <c r="D243" s="29"/>
      <c r="E243" s="29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9"/>
      <c r="B244" s="13"/>
      <c r="C244" s="29"/>
      <c r="D244" s="29"/>
      <c r="E244" s="29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5.75" customHeight="1">
      <c r="A245" s="29"/>
      <c r="B245" s="13"/>
      <c r="C245" s="29"/>
      <c r="D245" s="29"/>
      <c r="E245" s="29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>
      <c r="A246" s="29"/>
      <c r="B246" s="13"/>
      <c r="C246" s="29"/>
      <c r="D246" s="29"/>
      <c r="E246" s="29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29"/>
      <c r="B247" s="13"/>
      <c r="C247" s="29"/>
      <c r="D247" s="29"/>
      <c r="E247" s="29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5.75" customHeight="1">
      <c r="A248" s="29"/>
      <c r="B248" s="13"/>
      <c r="C248" s="29"/>
      <c r="D248" s="29"/>
      <c r="E248" s="29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9"/>
      <c r="B249" s="13"/>
      <c r="C249" s="29"/>
      <c r="D249" s="29"/>
      <c r="E249" s="29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5.75" customHeight="1">
      <c r="A250" s="29"/>
      <c r="B250" s="13"/>
      <c r="C250" s="29"/>
      <c r="D250" s="29"/>
      <c r="E250" s="29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>
      <c r="A251" s="29"/>
      <c r="B251" s="13"/>
      <c r="C251" s="29"/>
      <c r="D251" s="29"/>
      <c r="E251" s="29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29"/>
      <c r="B252" s="13"/>
      <c r="C252" s="29"/>
      <c r="D252" s="29"/>
      <c r="E252" s="29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5.75" customHeight="1">
      <c r="A253" s="29"/>
      <c r="B253" s="13"/>
      <c r="C253" s="29"/>
      <c r="D253" s="29"/>
      <c r="E253" s="29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9"/>
      <c r="B254" s="13"/>
      <c r="C254" s="29"/>
      <c r="D254" s="29"/>
      <c r="E254" s="29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5.75" customHeight="1">
      <c r="A255" s="29"/>
      <c r="B255" s="13"/>
      <c r="C255" s="29"/>
      <c r="D255" s="29"/>
      <c r="E255" s="29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>
      <c r="A256" s="29"/>
      <c r="B256" s="13"/>
      <c r="C256" s="29"/>
      <c r="D256" s="29"/>
      <c r="E256" s="29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29"/>
      <c r="B257" s="13"/>
      <c r="C257" s="29"/>
      <c r="D257" s="29"/>
      <c r="E257" s="29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5.75" customHeight="1">
      <c r="A258" s="29"/>
      <c r="B258" s="13"/>
      <c r="C258" s="29"/>
      <c r="D258" s="29"/>
      <c r="E258" s="29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5.75" customHeight="1">
      <c r="A259" s="29"/>
      <c r="B259" s="13"/>
      <c r="C259" s="29"/>
      <c r="D259" s="29"/>
      <c r="E259" s="29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5.75" customHeight="1">
      <c r="A260" s="29"/>
      <c r="B260" s="13"/>
      <c r="C260" s="29"/>
      <c r="D260" s="29"/>
      <c r="E260" s="29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>
      <c r="A261" s="29"/>
      <c r="B261" s="13"/>
      <c r="C261" s="29"/>
      <c r="D261" s="29"/>
      <c r="E261" s="29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29"/>
      <c r="B262" s="13"/>
      <c r="C262" s="29"/>
      <c r="D262" s="29"/>
      <c r="E262" s="29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5.75" customHeight="1">
      <c r="A263" s="29"/>
      <c r="B263" s="13"/>
      <c r="C263" s="29"/>
      <c r="D263" s="29"/>
      <c r="E263" s="29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9"/>
      <c r="B264" s="13"/>
      <c r="C264" s="29"/>
      <c r="D264" s="29"/>
      <c r="E264" s="29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5.75" customHeight="1">
      <c r="A265" s="29"/>
      <c r="B265" s="13"/>
      <c r="C265" s="29"/>
      <c r="D265" s="29"/>
      <c r="E265" s="29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>
      <c r="A266" s="29"/>
      <c r="B266" s="13"/>
      <c r="C266" s="29"/>
      <c r="D266" s="29"/>
      <c r="E266" s="29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29"/>
      <c r="B267" s="13"/>
      <c r="C267" s="29"/>
      <c r="D267" s="29"/>
      <c r="E267" s="29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5.75" customHeight="1">
      <c r="A268" s="29"/>
      <c r="B268" s="13"/>
      <c r="C268" s="29"/>
      <c r="D268" s="29"/>
      <c r="E268" s="29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9"/>
      <c r="B269" s="13"/>
      <c r="C269" s="29"/>
      <c r="D269" s="29"/>
      <c r="E269" s="29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5.75" customHeight="1">
      <c r="A270" s="29"/>
      <c r="B270" s="13"/>
      <c r="C270" s="29"/>
      <c r="D270" s="29"/>
      <c r="E270" s="29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>
      <c r="A271" s="29"/>
      <c r="B271" s="13"/>
      <c r="C271" s="29"/>
      <c r="D271" s="29"/>
      <c r="E271" s="29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29"/>
      <c r="B272" s="13"/>
      <c r="C272" s="29"/>
      <c r="D272" s="29"/>
      <c r="E272" s="29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5.75" customHeight="1">
      <c r="A273" s="29"/>
      <c r="B273" s="13"/>
      <c r="C273" s="29"/>
      <c r="D273" s="29"/>
      <c r="E273" s="29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9"/>
      <c r="B274" s="13"/>
      <c r="C274" s="29"/>
      <c r="D274" s="29"/>
      <c r="E274" s="29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5.75" customHeight="1">
      <c r="A275" s="29"/>
      <c r="B275" s="13"/>
      <c r="C275" s="29"/>
      <c r="D275" s="29"/>
      <c r="E275" s="29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>
      <c r="A276" s="29"/>
      <c r="B276" s="13"/>
      <c r="C276" s="29"/>
      <c r="D276" s="29"/>
      <c r="E276" s="29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29"/>
      <c r="B277" s="13"/>
      <c r="C277" s="29"/>
      <c r="D277" s="29"/>
      <c r="E277" s="29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5.75" customHeight="1">
      <c r="A278" s="29"/>
      <c r="B278" s="13"/>
      <c r="C278" s="29"/>
      <c r="D278" s="29"/>
      <c r="E278" s="29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9"/>
      <c r="B279" s="13"/>
      <c r="C279" s="29"/>
      <c r="D279" s="29"/>
      <c r="E279" s="29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5.75" customHeight="1">
      <c r="A280" s="36"/>
      <c r="B280" s="37"/>
      <c r="C280" s="36"/>
      <c r="D280" s="36"/>
      <c r="E280" s="36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ht="15.75" customHeight="1">
      <c r="A281" s="36"/>
      <c r="B281" s="37"/>
      <c r="C281" s="36"/>
      <c r="D281" s="36"/>
      <c r="E281" s="36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ht="15.75" customHeight="1">
      <c r="A282" s="36"/>
      <c r="B282" s="37"/>
      <c r="C282" s="36"/>
      <c r="D282" s="36"/>
      <c r="E282" s="36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ht="15.75" customHeight="1">
      <c r="A283" s="36"/>
      <c r="B283" s="37"/>
      <c r="C283" s="36"/>
      <c r="D283" s="36"/>
      <c r="E283" s="36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ht="15.75" customHeight="1">
      <c r="A284" s="36"/>
      <c r="B284" s="37"/>
      <c r="C284" s="36"/>
      <c r="D284" s="36"/>
      <c r="E284" s="36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ht="15.75" customHeight="1">
      <c r="A285" s="36"/>
      <c r="B285" s="37"/>
      <c r="C285" s="36"/>
      <c r="D285" s="36"/>
      <c r="E285" s="36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ht="15.75" customHeight="1">
      <c r="A286" s="36"/>
      <c r="B286" s="37"/>
      <c r="C286" s="36"/>
      <c r="D286" s="36"/>
      <c r="E286" s="36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ht="15.75" customHeight="1">
      <c r="A287" s="36"/>
      <c r="B287" s="37"/>
      <c r="C287" s="36"/>
      <c r="D287" s="36"/>
      <c r="E287" s="36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ht="15.75" customHeight="1">
      <c r="A288" s="36"/>
      <c r="B288" s="37"/>
      <c r="C288" s="36"/>
      <c r="D288" s="36"/>
      <c r="E288" s="36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2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8.5"/>
    <col customWidth="1" min="14" max="15" width="11.88"/>
    <col customWidth="1" min="16" max="16" width="4.38"/>
    <col customWidth="1" min="17" max="36" width="12.63"/>
  </cols>
  <sheetData>
    <row r="1">
      <c r="A1" s="1" t="s">
        <v>548</v>
      </c>
      <c r="B1" s="2" t="s">
        <v>549</v>
      </c>
      <c r="C1" s="2" t="s">
        <v>550</v>
      </c>
      <c r="D1" s="2" t="s">
        <v>551</v>
      </c>
      <c r="E1" s="2" t="s">
        <v>552</v>
      </c>
      <c r="F1" s="2" t="s">
        <v>553</v>
      </c>
      <c r="G1" s="29" t="s">
        <v>192</v>
      </c>
      <c r="H1" s="1" t="s">
        <v>554</v>
      </c>
      <c r="I1" s="1" t="s">
        <v>555</v>
      </c>
      <c r="J1" s="1" t="s">
        <v>556</v>
      </c>
      <c r="K1" s="29" t="s">
        <v>557</v>
      </c>
      <c r="L1" s="29" t="s">
        <v>558</v>
      </c>
      <c r="M1" s="29" t="s">
        <v>559</v>
      </c>
      <c r="N1" s="29" t="s">
        <v>560</v>
      </c>
      <c r="O1" s="29" t="s">
        <v>561</v>
      </c>
      <c r="P1" s="29" t="s">
        <v>562</v>
      </c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38"/>
      <c r="AJ1" s="38"/>
    </row>
    <row r="2">
      <c r="A2" s="29" t="s">
        <v>563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9"/>
      <c r="L2" s="29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4"/>
      <c r="AJ2" s="24"/>
    </row>
    <row r="3">
      <c r="A3" s="29"/>
      <c r="B3" s="14"/>
      <c r="C3" s="14"/>
      <c r="D3" s="14"/>
      <c r="E3" s="14"/>
      <c r="F3" s="14"/>
      <c r="G3" s="13"/>
      <c r="H3" s="13"/>
      <c r="I3" s="13"/>
      <c r="J3" s="13"/>
      <c r="K3" s="29"/>
      <c r="L3" s="29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24"/>
      <c r="AJ3" s="24"/>
    </row>
    <row r="4">
      <c r="A4" s="29"/>
      <c r="B4" s="14"/>
      <c r="C4" s="14"/>
      <c r="D4" s="14"/>
      <c r="E4" s="14"/>
      <c r="F4" s="14"/>
      <c r="G4" s="13"/>
      <c r="H4" s="13"/>
      <c r="I4" s="13"/>
      <c r="J4" s="13"/>
      <c r="K4" s="29"/>
      <c r="L4" s="29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4"/>
      <c r="AJ4" s="24"/>
    </row>
    <row r="5">
      <c r="A5" s="29"/>
      <c r="B5" s="14"/>
      <c r="C5" s="14"/>
      <c r="D5" s="14"/>
      <c r="E5" s="14"/>
      <c r="F5" s="14"/>
      <c r="G5" s="13"/>
      <c r="H5" s="13"/>
      <c r="I5" s="13"/>
      <c r="J5" s="13"/>
      <c r="K5" s="29"/>
      <c r="L5" s="29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24"/>
      <c r="AJ5" s="24"/>
    </row>
    <row r="6">
      <c r="A6" s="29"/>
      <c r="B6" s="14"/>
      <c r="C6" s="14"/>
      <c r="D6" s="14"/>
      <c r="E6" s="14"/>
      <c r="F6" s="14"/>
      <c r="G6" s="13"/>
      <c r="H6" s="13"/>
      <c r="I6" s="13"/>
      <c r="J6" s="13"/>
      <c r="K6" s="29"/>
      <c r="L6" s="29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4"/>
      <c r="AJ6" s="24"/>
    </row>
    <row r="7">
      <c r="A7" s="29"/>
      <c r="B7" s="14"/>
      <c r="C7" s="14"/>
      <c r="D7" s="14"/>
      <c r="E7" s="14"/>
      <c r="F7" s="14"/>
      <c r="G7" s="13"/>
      <c r="H7" s="13"/>
      <c r="I7" s="13"/>
      <c r="J7" s="13"/>
      <c r="K7" s="29"/>
      <c r="L7" s="29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4"/>
      <c r="AJ7" s="24"/>
    </row>
    <row r="8">
      <c r="A8" s="29"/>
      <c r="B8" s="14"/>
      <c r="C8" s="14"/>
      <c r="D8" s="14"/>
      <c r="E8" s="14"/>
      <c r="F8" s="14"/>
      <c r="G8" s="13"/>
      <c r="H8" s="13"/>
      <c r="I8" s="13"/>
      <c r="J8" s="13"/>
      <c r="K8" s="29"/>
      <c r="L8" s="29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4"/>
      <c r="AJ8" s="24"/>
    </row>
    <row r="9">
      <c r="A9" s="29"/>
      <c r="B9" s="14"/>
      <c r="C9" s="14"/>
      <c r="D9" s="14"/>
      <c r="E9" s="14"/>
      <c r="F9" s="14"/>
      <c r="G9" s="13"/>
      <c r="H9" s="13"/>
      <c r="I9" s="13"/>
      <c r="J9" s="13"/>
      <c r="K9" s="29"/>
      <c r="L9" s="29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4"/>
      <c r="AJ9" s="24"/>
    </row>
    <row r="10">
      <c r="A10" s="29"/>
      <c r="B10" s="14"/>
      <c r="C10" s="14"/>
      <c r="D10" s="14"/>
      <c r="E10" s="14"/>
      <c r="F10" s="14"/>
      <c r="G10" s="13"/>
      <c r="H10" s="13"/>
      <c r="I10" s="13"/>
      <c r="J10" s="13"/>
      <c r="K10" s="29"/>
      <c r="L10" s="29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24"/>
    </row>
    <row r="11">
      <c r="A11" s="29"/>
      <c r="B11" s="14"/>
      <c r="C11" s="14"/>
      <c r="D11" s="14"/>
      <c r="E11" s="14"/>
      <c r="F11" s="14"/>
      <c r="G11" s="13"/>
      <c r="H11" s="13"/>
      <c r="I11" s="13"/>
      <c r="J11" s="13"/>
      <c r="K11" s="29"/>
      <c r="L11" s="2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4"/>
      <c r="AJ11" s="24"/>
    </row>
    <row r="12">
      <c r="A12" s="29"/>
      <c r="B12" s="14"/>
      <c r="C12" s="14"/>
      <c r="D12" s="14"/>
      <c r="E12" s="14"/>
      <c r="F12" s="14"/>
      <c r="G12" s="13"/>
      <c r="H12" s="13"/>
      <c r="I12" s="13"/>
      <c r="J12" s="13"/>
      <c r="K12" s="29"/>
      <c r="L12" s="29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4"/>
      <c r="AJ12" s="24"/>
    </row>
    <row r="13">
      <c r="A13" s="29"/>
      <c r="B13" s="14"/>
      <c r="C13" s="14"/>
      <c r="D13" s="14"/>
      <c r="E13" s="14"/>
      <c r="F13" s="14"/>
      <c r="G13" s="13"/>
      <c r="H13" s="13"/>
      <c r="I13" s="13"/>
      <c r="J13" s="13"/>
      <c r="K13" s="29"/>
      <c r="L13" s="29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4"/>
      <c r="AJ13" s="24"/>
    </row>
    <row r="14">
      <c r="A14" s="29"/>
      <c r="B14" s="14"/>
      <c r="C14" s="14"/>
      <c r="D14" s="14"/>
      <c r="E14" s="14"/>
      <c r="F14" s="14"/>
      <c r="G14" s="13"/>
      <c r="H14" s="13"/>
      <c r="I14" s="13"/>
      <c r="J14" s="13"/>
      <c r="K14" s="29"/>
      <c r="L14" s="29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4"/>
      <c r="AJ14" s="24"/>
    </row>
    <row r="15">
      <c r="A15" s="29"/>
      <c r="B15" s="14"/>
      <c r="C15" s="14"/>
      <c r="D15" s="14"/>
      <c r="E15" s="14"/>
      <c r="F15" s="14"/>
      <c r="G15" s="13"/>
      <c r="H15" s="13"/>
      <c r="I15" s="13"/>
      <c r="J15" s="13"/>
      <c r="K15" s="29"/>
      <c r="L15" s="29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4"/>
      <c r="AJ15" s="24"/>
    </row>
    <row r="16">
      <c r="A16" s="29"/>
      <c r="B16" s="14"/>
      <c r="C16" s="14"/>
      <c r="D16" s="14"/>
      <c r="E16" s="14"/>
      <c r="F16" s="14"/>
      <c r="G16" s="13"/>
      <c r="H16" s="13"/>
      <c r="I16" s="13"/>
      <c r="J16" s="13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4"/>
      <c r="AJ16" s="24"/>
    </row>
    <row r="17">
      <c r="A17" s="29"/>
      <c r="B17" s="14"/>
      <c r="C17" s="14"/>
      <c r="D17" s="14"/>
      <c r="E17" s="14"/>
      <c r="F17" s="14"/>
      <c r="G17" s="13"/>
      <c r="H17" s="13"/>
      <c r="I17" s="13"/>
      <c r="J17" s="13"/>
      <c r="K17" s="29"/>
      <c r="L17" s="29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4"/>
      <c r="AJ17" s="24"/>
    </row>
    <row r="18">
      <c r="A18" s="29"/>
      <c r="B18" s="14"/>
      <c r="C18" s="14"/>
      <c r="D18" s="14"/>
      <c r="E18" s="14"/>
      <c r="F18" s="14"/>
      <c r="G18" s="13"/>
      <c r="H18" s="13"/>
      <c r="I18" s="13"/>
      <c r="J18" s="13"/>
      <c r="K18" s="29"/>
      <c r="L18" s="29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4"/>
      <c r="AJ18" s="24"/>
    </row>
    <row r="19">
      <c r="A19" s="29"/>
      <c r="B19" s="14"/>
      <c r="C19" s="14"/>
      <c r="D19" s="14"/>
      <c r="E19" s="14"/>
      <c r="F19" s="14"/>
      <c r="G19" s="13"/>
      <c r="H19" s="13"/>
      <c r="I19" s="13"/>
      <c r="J19" s="13"/>
      <c r="K19" s="29"/>
      <c r="L19" s="2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4"/>
      <c r="AJ19" s="24"/>
    </row>
    <row r="20">
      <c r="A20" s="29"/>
      <c r="B20" s="14"/>
      <c r="C20" s="14"/>
      <c r="D20" s="14"/>
      <c r="E20" s="14"/>
      <c r="F20" s="14"/>
      <c r="G20" s="13"/>
      <c r="H20" s="13"/>
      <c r="I20" s="13"/>
      <c r="J20" s="13"/>
      <c r="K20" s="29"/>
      <c r="L20" s="29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4"/>
      <c r="AJ20" s="24"/>
    </row>
    <row r="21" ht="15.75" customHeight="1">
      <c r="A21" s="29"/>
      <c r="B21" s="14"/>
      <c r="C21" s="14"/>
      <c r="D21" s="14"/>
      <c r="E21" s="14"/>
      <c r="F21" s="14"/>
      <c r="G21" s="13"/>
      <c r="H21" s="13"/>
      <c r="I21" s="13"/>
      <c r="J21" s="13"/>
      <c r="K21" s="29"/>
      <c r="L21" s="29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4"/>
      <c r="AJ21" s="24"/>
    </row>
    <row r="22" ht="15.75" customHeight="1">
      <c r="A22" s="29"/>
      <c r="B22" s="14"/>
      <c r="C22" s="14"/>
      <c r="D22" s="14"/>
      <c r="E22" s="14"/>
      <c r="F22" s="14"/>
      <c r="G22" s="13"/>
      <c r="H22" s="13"/>
      <c r="I22" s="13"/>
      <c r="J22" s="13"/>
      <c r="K22" s="29"/>
      <c r="L22" s="29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4"/>
      <c r="AJ22" s="24"/>
    </row>
    <row r="23" ht="15.75" customHeight="1">
      <c r="A23" s="29"/>
      <c r="B23" s="14"/>
      <c r="C23" s="14"/>
      <c r="D23" s="14"/>
      <c r="E23" s="14"/>
      <c r="F23" s="14"/>
      <c r="G23" s="13"/>
      <c r="H23" s="13"/>
      <c r="I23" s="13"/>
      <c r="J23" s="13"/>
      <c r="K23" s="29"/>
      <c r="L23" s="29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4"/>
      <c r="AJ23" s="24"/>
    </row>
    <row r="24" ht="15.75" customHeight="1">
      <c r="A24" s="29"/>
      <c r="B24" s="14"/>
      <c r="C24" s="14"/>
      <c r="D24" s="14"/>
      <c r="E24" s="14"/>
      <c r="F24" s="14"/>
      <c r="G24" s="13"/>
      <c r="H24" s="13"/>
      <c r="I24" s="13"/>
      <c r="J24" s="13"/>
      <c r="K24" s="29"/>
      <c r="L24" s="2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4"/>
      <c r="AJ24" s="24"/>
    </row>
    <row r="25" ht="15.75" customHeight="1">
      <c r="A25" s="29"/>
      <c r="B25" s="14"/>
      <c r="C25" s="14"/>
      <c r="D25" s="14"/>
      <c r="E25" s="14"/>
      <c r="F25" s="14"/>
      <c r="G25" s="13"/>
      <c r="H25" s="13"/>
      <c r="I25" s="13"/>
      <c r="J25" s="13"/>
      <c r="K25" s="29"/>
      <c r="L25" s="2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4"/>
      <c r="AJ25" s="24"/>
    </row>
    <row r="26" ht="15.75" customHeight="1">
      <c r="A26" s="29"/>
      <c r="B26" s="14"/>
      <c r="C26" s="14"/>
      <c r="D26" s="14"/>
      <c r="E26" s="14"/>
      <c r="F26" s="14"/>
      <c r="G26" s="13"/>
      <c r="H26" s="13"/>
      <c r="I26" s="13"/>
      <c r="J26" s="13"/>
      <c r="K26" s="29"/>
      <c r="L26" s="2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4"/>
      <c r="AJ26" s="24"/>
    </row>
    <row r="27" ht="15.75" customHeight="1">
      <c r="A27" s="29"/>
      <c r="B27" s="14"/>
      <c r="C27" s="14"/>
      <c r="D27" s="14"/>
      <c r="E27" s="14"/>
      <c r="F27" s="14"/>
      <c r="G27" s="13"/>
      <c r="H27" s="13"/>
      <c r="I27" s="13"/>
      <c r="J27" s="13"/>
      <c r="K27" s="29"/>
      <c r="L27" s="2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4"/>
      <c r="AJ27" s="24"/>
    </row>
    <row r="28" ht="15.75" customHeight="1">
      <c r="A28" s="29"/>
      <c r="B28" s="14"/>
      <c r="C28" s="14"/>
      <c r="D28" s="14"/>
      <c r="E28" s="14"/>
      <c r="F28" s="14"/>
      <c r="G28" s="13"/>
      <c r="H28" s="13"/>
      <c r="I28" s="13"/>
      <c r="J28" s="13"/>
      <c r="K28" s="29"/>
      <c r="L28" s="2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4"/>
      <c r="AJ28" s="24"/>
    </row>
    <row r="29" ht="15.75" customHeight="1">
      <c r="A29" s="29"/>
      <c r="B29" s="14"/>
      <c r="C29" s="14"/>
      <c r="D29" s="14"/>
      <c r="E29" s="14"/>
      <c r="F29" s="14"/>
      <c r="G29" s="13"/>
      <c r="H29" s="13"/>
      <c r="I29" s="13"/>
      <c r="J29" s="13"/>
      <c r="K29" s="29"/>
      <c r="L29" s="29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4"/>
      <c r="AJ29" s="24"/>
    </row>
    <row r="30" ht="15.75" customHeight="1">
      <c r="A30" s="29"/>
      <c r="B30" s="14"/>
      <c r="C30" s="14"/>
      <c r="D30" s="14"/>
      <c r="E30" s="14"/>
      <c r="F30" s="14"/>
      <c r="G30" s="13"/>
      <c r="H30" s="13"/>
      <c r="I30" s="13"/>
      <c r="J30" s="13"/>
      <c r="K30" s="29"/>
      <c r="L30" s="29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4"/>
      <c r="AJ30" s="24"/>
    </row>
    <row r="31" ht="15.75" customHeight="1">
      <c r="A31" s="29"/>
      <c r="B31" s="14"/>
      <c r="C31" s="14"/>
      <c r="D31" s="14"/>
      <c r="E31" s="14"/>
      <c r="F31" s="14"/>
      <c r="G31" s="13"/>
      <c r="H31" s="13"/>
      <c r="I31" s="13"/>
      <c r="J31" s="13"/>
      <c r="K31" s="29"/>
      <c r="L31" s="29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4"/>
      <c r="AJ31" s="24"/>
    </row>
    <row r="32" ht="15.75" customHeight="1">
      <c r="A32" s="29"/>
      <c r="B32" s="14"/>
      <c r="C32" s="14"/>
      <c r="D32" s="14"/>
      <c r="E32" s="14"/>
      <c r="F32" s="14"/>
      <c r="G32" s="13"/>
      <c r="H32" s="13"/>
      <c r="I32" s="13"/>
      <c r="J32" s="13"/>
      <c r="K32" s="29"/>
      <c r="L32" s="29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4"/>
      <c r="AJ32" s="24"/>
    </row>
    <row r="33" ht="15.75" customHeight="1">
      <c r="A33" s="29"/>
      <c r="B33" s="14"/>
      <c r="C33" s="14"/>
      <c r="D33" s="14"/>
      <c r="E33" s="14"/>
      <c r="F33" s="14"/>
      <c r="G33" s="13"/>
      <c r="H33" s="13"/>
      <c r="I33" s="13"/>
      <c r="J33" s="13"/>
      <c r="K33" s="29"/>
      <c r="L33" s="2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4"/>
      <c r="AJ33" s="24"/>
    </row>
    <row r="34" ht="15.75" customHeight="1">
      <c r="A34" s="29"/>
      <c r="B34" s="14"/>
      <c r="C34" s="14"/>
      <c r="D34" s="14"/>
      <c r="E34" s="14"/>
      <c r="F34" s="14"/>
      <c r="G34" s="13"/>
      <c r="H34" s="13"/>
      <c r="I34" s="13"/>
      <c r="J34" s="13"/>
      <c r="K34" s="29"/>
      <c r="L34" s="2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4"/>
      <c r="AJ34" s="24"/>
    </row>
    <row r="35" ht="15.75" customHeight="1">
      <c r="A35" s="29"/>
      <c r="B35" s="14"/>
      <c r="C35" s="14"/>
      <c r="D35" s="14"/>
      <c r="E35" s="14"/>
      <c r="F35" s="14"/>
      <c r="G35" s="13"/>
      <c r="H35" s="13"/>
      <c r="I35" s="13"/>
      <c r="J35" s="13"/>
      <c r="K35" s="29"/>
      <c r="L35" s="2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4"/>
      <c r="AJ35" s="24"/>
    </row>
    <row r="36" ht="15.75" customHeight="1">
      <c r="A36" s="29"/>
      <c r="B36" s="14"/>
      <c r="C36" s="14"/>
      <c r="D36" s="14"/>
      <c r="E36" s="14"/>
      <c r="F36" s="14"/>
      <c r="G36" s="13"/>
      <c r="H36" s="13"/>
      <c r="I36" s="13"/>
      <c r="J36" s="13"/>
      <c r="K36" s="29"/>
      <c r="L36" s="2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4"/>
      <c r="AJ36" s="24"/>
    </row>
    <row r="37" ht="15.75" customHeight="1">
      <c r="A37" s="29"/>
      <c r="B37" s="14"/>
      <c r="C37" s="14"/>
      <c r="D37" s="14"/>
      <c r="E37" s="14"/>
      <c r="F37" s="14"/>
      <c r="G37" s="13"/>
      <c r="H37" s="13"/>
      <c r="I37" s="13"/>
      <c r="J37" s="13"/>
      <c r="K37" s="29"/>
      <c r="L37" s="2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4"/>
      <c r="AJ37" s="24"/>
    </row>
    <row r="38" ht="15.75" customHeight="1">
      <c r="A38" s="29"/>
      <c r="B38" s="14"/>
      <c r="C38" s="14"/>
      <c r="D38" s="14"/>
      <c r="E38" s="14"/>
      <c r="F38" s="14"/>
      <c r="G38" s="13"/>
      <c r="H38" s="13"/>
      <c r="I38" s="13"/>
      <c r="J38" s="13"/>
      <c r="K38" s="29"/>
      <c r="L38" s="29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4"/>
      <c r="AJ38" s="24"/>
    </row>
    <row r="39" ht="15.75" customHeight="1">
      <c r="A39" s="29"/>
      <c r="B39" s="14"/>
      <c r="C39" s="14"/>
      <c r="D39" s="14"/>
      <c r="E39" s="14"/>
      <c r="F39" s="14"/>
      <c r="G39" s="13"/>
      <c r="H39" s="13"/>
      <c r="I39" s="13"/>
      <c r="J39" s="13"/>
      <c r="K39" s="29"/>
      <c r="L39" s="2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4"/>
      <c r="AJ39" s="24"/>
    </row>
    <row r="40" ht="15.75" customHeight="1">
      <c r="A40" s="29"/>
      <c r="B40" s="14"/>
      <c r="C40" s="14"/>
      <c r="D40" s="14"/>
      <c r="E40" s="14"/>
      <c r="F40" s="14"/>
      <c r="G40" s="13"/>
      <c r="H40" s="13"/>
      <c r="I40" s="13"/>
      <c r="J40" s="13"/>
      <c r="K40" s="29"/>
      <c r="L40" s="29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4"/>
      <c r="AJ40" s="24"/>
    </row>
    <row r="41" ht="15.75" customHeight="1">
      <c r="A41" s="29"/>
      <c r="B41" s="14"/>
      <c r="C41" s="14"/>
      <c r="D41" s="14"/>
      <c r="E41" s="14"/>
      <c r="F41" s="14"/>
      <c r="G41" s="13"/>
      <c r="H41" s="13"/>
      <c r="I41" s="13"/>
      <c r="J41" s="13"/>
      <c r="K41" s="29"/>
      <c r="L41" s="2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4"/>
      <c r="AJ41" s="24"/>
    </row>
    <row r="42" ht="15.75" customHeight="1">
      <c r="A42" s="29"/>
      <c r="B42" s="14"/>
      <c r="C42" s="14"/>
      <c r="D42" s="14"/>
      <c r="E42" s="14"/>
      <c r="F42" s="14"/>
      <c r="G42" s="13"/>
      <c r="H42" s="13"/>
      <c r="I42" s="13"/>
      <c r="J42" s="13"/>
      <c r="K42" s="29"/>
      <c r="L42" s="29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4"/>
      <c r="AJ42" s="24"/>
    </row>
    <row r="43" ht="15.75" customHeight="1">
      <c r="A43" s="29"/>
      <c r="B43" s="14"/>
      <c r="C43" s="14"/>
      <c r="D43" s="14"/>
      <c r="E43" s="14"/>
      <c r="F43" s="14"/>
      <c r="G43" s="13"/>
      <c r="H43" s="13"/>
      <c r="I43" s="13"/>
      <c r="J43" s="13"/>
      <c r="K43" s="29"/>
      <c r="L43" s="29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4"/>
      <c r="AJ43" s="24"/>
    </row>
    <row r="44" ht="15.75" customHeight="1">
      <c r="A44" s="29"/>
      <c r="B44" s="14"/>
      <c r="C44" s="14"/>
      <c r="D44" s="14"/>
      <c r="E44" s="14"/>
      <c r="F44" s="14"/>
      <c r="G44" s="13"/>
      <c r="H44" s="13"/>
      <c r="I44" s="13"/>
      <c r="J44" s="13"/>
      <c r="K44" s="29"/>
      <c r="L44" s="29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4"/>
      <c r="AJ44" s="24"/>
    </row>
    <row r="45" ht="15.75" customHeight="1">
      <c r="A45" s="29"/>
      <c r="B45" s="14"/>
      <c r="C45" s="14"/>
      <c r="D45" s="14"/>
      <c r="E45" s="14"/>
      <c r="F45" s="14"/>
      <c r="G45" s="13"/>
      <c r="H45" s="13"/>
      <c r="I45" s="13"/>
      <c r="J45" s="13"/>
      <c r="K45" s="29"/>
      <c r="L45" s="29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24"/>
    </row>
    <row r="46" ht="15.75" customHeight="1">
      <c r="A46" s="29"/>
      <c r="B46" s="14"/>
      <c r="C46" s="14"/>
      <c r="D46" s="14"/>
      <c r="E46" s="14"/>
      <c r="F46" s="14"/>
      <c r="G46" s="13"/>
      <c r="H46" s="13"/>
      <c r="I46" s="13"/>
      <c r="J46" s="13"/>
      <c r="K46" s="29"/>
      <c r="L46" s="29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4"/>
      <c r="AJ46" s="24"/>
    </row>
    <row r="47" ht="15.75" customHeight="1">
      <c r="A47" s="29"/>
      <c r="B47" s="14"/>
      <c r="C47" s="14"/>
      <c r="D47" s="14"/>
      <c r="E47" s="14"/>
      <c r="F47" s="14"/>
      <c r="G47" s="13"/>
      <c r="H47" s="13"/>
      <c r="I47" s="13"/>
      <c r="J47" s="13"/>
      <c r="K47" s="29"/>
      <c r="L47" s="29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4"/>
      <c r="AJ47" s="24"/>
    </row>
    <row r="48" ht="15.75" customHeight="1">
      <c r="A48" s="29"/>
      <c r="B48" s="14"/>
      <c r="C48" s="14"/>
      <c r="D48" s="14"/>
      <c r="E48" s="14"/>
      <c r="F48" s="14"/>
      <c r="G48" s="13"/>
      <c r="H48" s="13"/>
      <c r="I48" s="13"/>
      <c r="J48" s="13"/>
      <c r="K48" s="29"/>
      <c r="L48" s="29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4"/>
      <c r="AJ48" s="24"/>
    </row>
    <row r="49" ht="15.75" customHeight="1">
      <c r="A49" s="29"/>
      <c r="B49" s="14"/>
      <c r="C49" s="14"/>
      <c r="D49" s="14"/>
      <c r="E49" s="14"/>
      <c r="F49" s="14"/>
      <c r="G49" s="13"/>
      <c r="H49" s="13"/>
      <c r="I49" s="13"/>
      <c r="J49" s="13"/>
      <c r="K49" s="29"/>
      <c r="L49" s="29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4"/>
      <c r="AJ49" s="24"/>
    </row>
    <row r="50" ht="15.75" customHeight="1">
      <c r="A50" s="29"/>
      <c r="B50" s="14"/>
      <c r="C50" s="14"/>
      <c r="D50" s="14"/>
      <c r="E50" s="14"/>
      <c r="F50" s="14"/>
      <c r="G50" s="13"/>
      <c r="H50" s="13"/>
      <c r="I50" s="13"/>
      <c r="J50" s="13"/>
      <c r="K50" s="29"/>
      <c r="L50" s="29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4"/>
      <c r="AJ50" s="24"/>
    </row>
    <row r="51" ht="15.75" customHeight="1">
      <c r="A51" s="29"/>
      <c r="B51" s="14"/>
      <c r="C51" s="14"/>
      <c r="D51" s="14"/>
      <c r="E51" s="14"/>
      <c r="F51" s="14"/>
      <c r="G51" s="13"/>
      <c r="H51" s="13"/>
      <c r="I51" s="13"/>
      <c r="J51" s="13"/>
      <c r="K51" s="29"/>
      <c r="L51" s="29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4"/>
      <c r="AJ51" s="24"/>
    </row>
    <row r="52" ht="15.75" customHeight="1">
      <c r="A52" s="29"/>
      <c r="B52" s="14"/>
      <c r="C52" s="14"/>
      <c r="D52" s="14"/>
      <c r="E52" s="14"/>
      <c r="F52" s="14"/>
      <c r="G52" s="13"/>
      <c r="H52" s="13"/>
      <c r="I52" s="13"/>
      <c r="J52" s="13"/>
      <c r="K52" s="29"/>
      <c r="L52" s="29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4"/>
      <c r="AJ52" s="24"/>
    </row>
    <row r="53" ht="15.75" customHeight="1">
      <c r="A53" s="29"/>
      <c r="B53" s="14"/>
      <c r="C53" s="14"/>
      <c r="D53" s="14"/>
      <c r="E53" s="14"/>
      <c r="F53" s="14"/>
      <c r="G53" s="13"/>
      <c r="H53" s="13"/>
      <c r="I53" s="13"/>
      <c r="J53" s="13"/>
      <c r="K53" s="29"/>
      <c r="L53" s="29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4"/>
      <c r="AJ53" s="24"/>
    </row>
    <row r="54" ht="15.75" customHeight="1">
      <c r="A54" s="29"/>
      <c r="B54" s="14"/>
      <c r="C54" s="14"/>
      <c r="D54" s="14"/>
      <c r="E54" s="14"/>
      <c r="F54" s="14"/>
      <c r="G54" s="13"/>
      <c r="H54" s="13"/>
      <c r="I54" s="13"/>
      <c r="J54" s="13"/>
      <c r="K54" s="29"/>
      <c r="L54" s="29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4"/>
      <c r="AJ54" s="24"/>
    </row>
    <row r="55" ht="15.75" customHeight="1">
      <c r="A55" s="29"/>
      <c r="B55" s="14"/>
      <c r="C55" s="14"/>
      <c r="D55" s="14"/>
      <c r="E55" s="14"/>
      <c r="F55" s="14"/>
      <c r="G55" s="13"/>
      <c r="H55" s="13"/>
      <c r="I55" s="13"/>
      <c r="J55" s="13"/>
      <c r="K55" s="29"/>
      <c r="L55" s="29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4"/>
      <c r="AJ55" s="24"/>
    </row>
    <row r="56" ht="15.75" customHeight="1">
      <c r="A56" s="29"/>
      <c r="B56" s="14"/>
      <c r="C56" s="14"/>
      <c r="D56" s="14"/>
      <c r="E56" s="14"/>
      <c r="F56" s="14"/>
      <c r="G56" s="13"/>
      <c r="H56" s="13"/>
      <c r="I56" s="13"/>
      <c r="J56" s="13"/>
      <c r="K56" s="29"/>
      <c r="L56" s="29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4"/>
      <c r="AJ56" s="24"/>
    </row>
    <row r="57" ht="15.75" customHeight="1">
      <c r="A57" s="29"/>
      <c r="B57" s="14"/>
      <c r="C57" s="14"/>
      <c r="D57" s="14"/>
      <c r="E57" s="14"/>
      <c r="F57" s="14"/>
      <c r="G57" s="13"/>
      <c r="H57" s="13"/>
      <c r="I57" s="13"/>
      <c r="J57" s="13"/>
      <c r="K57" s="29"/>
      <c r="L57" s="29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4"/>
      <c r="AJ57" s="24"/>
    </row>
    <row r="58" ht="15.75" customHeight="1">
      <c r="A58" s="29"/>
      <c r="B58" s="14"/>
      <c r="C58" s="14"/>
      <c r="D58" s="14"/>
      <c r="E58" s="14"/>
      <c r="F58" s="14"/>
      <c r="G58" s="13"/>
      <c r="H58" s="13"/>
      <c r="I58" s="13"/>
      <c r="J58" s="13"/>
      <c r="K58" s="29"/>
      <c r="L58" s="29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4"/>
      <c r="AJ58" s="24"/>
    </row>
    <row r="59" ht="15.75" customHeight="1">
      <c r="A59" s="29"/>
      <c r="B59" s="14"/>
      <c r="C59" s="14"/>
      <c r="D59" s="14"/>
      <c r="E59" s="14"/>
      <c r="F59" s="14"/>
      <c r="G59" s="13"/>
      <c r="H59" s="13"/>
      <c r="I59" s="13"/>
      <c r="J59" s="13"/>
      <c r="K59" s="29"/>
      <c r="L59" s="29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4"/>
      <c r="AJ59" s="24"/>
    </row>
    <row r="60" ht="15.75" customHeight="1">
      <c r="A60" s="29"/>
      <c r="B60" s="14"/>
      <c r="C60" s="14"/>
      <c r="D60" s="14"/>
      <c r="E60" s="14"/>
      <c r="F60" s="14"/>
      <c r="G60" s="13"/>
      <c r="H60" s="13"/>
      <c r="I60" s="13"/>
      <c r="J60" s="13"/>
      <c r="K60" s="29"/>
      <c r="L60" s="29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4"/>
      <c r="AJ60" s="24"/>
    </row>
    <row r="61" ht="15.75" customHeight="1">
      <c r="A61" s="29"/>
      <c r="B61" s="14"/>
      <c r="C61" s="14"/>
      <c r="D61" s="14"/>
      <c r="E61" s="14"/>
      <c r="F61" s="14"/>
      <c r="G61" s="13"/>
      <c r="H61" s="13"/>
      <c r="I61" s="13"/>
      <c r="J61" s="13"/>
      <c r="K61" s="29"/>
      <c r="L61" s="29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24"/>
    </row>
    <row r="62" ht="15.75" customHeight="1">
      <c r="A62" s="29"/>
      <c r="B62" s="14"/>
      <c r="C62" s="14"/>
      <c r="D62" s="14"/>
      <c r="E62" s="14"/>
      <c r="F62" s="14"/>
      <c r="G62" s="13"/>
      <c r="H62" s="13"/>
      <c r="I62" s="13"/>
      <c r="J62" s="13"/>
      <c r="K62" s="29"/>
      <c r="L62" s="29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4"/>
      <c r="AJ62" s="24"/>
    </row>
    <row r="63" ht="15.75" customHeight="1">
      <c r="A63" s="29"/>
      <c r="B63" s="14"/>
      <c r="C63" s="14"/>
      <c r="D63" s="14"/>
      <c r="E63" s="14"/>
      <c r="F63" s="14"/>
      <c r="G63" s="13"/>
      <c r="H63" s="13"/>
      <c r="I63" s="13"/>
      <c r="J63" s="13"/>
      <c r="K63" s="29"/>
      <c r="L63" s="29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4"/>
      <c r="AJ63" s="24"/>
    </row>
    <row r="64" ht="15.75" customHeight="1">
      <c r="A64" s="29"/>
      <c r="B64" s="14"/>
      <c r="C64" s="14"/>
      <c r="D64" s="14"/>
      <c r="E64" s="14"/>
      <c r="F64" s="14"/>
      <c r="G64" s="13"/>
      <c r="H64" s="13"/>
      <c r="I64" s="13"/>
      <c r="J64" s="13"/>
      <c r="K64" s="29"/>
      <c r="L64" s="29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4"/>
      <c r="AJ64" s="24"/>
    </row>
    <row r="65" ht="15.75" customHeight="1">
      <c r="A65" s="29"/>
      <c r="B65" s="14"/>
      <c r="C65" s="14"/>
      <c r="D65" s="14"/>
      <c r="E65" s="14"/>
      <c r="F65" s="14"/>
      <c r="G65" s="13"/>
      <c r="H65" s="13"/>
      <c r="I65" s="13"/>
      <c r="J65" s="13"/>
      <c r="K65" s="29"/>
      <c r="L65" s="29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4"/>
      <c r="AJ65" s="24"/>
    </row>
    <row r="66" ht="15.75" customHeight="1">
      <c r="A66" s="29"/>
      <c r="B66" s="14"/>
      <c r="C66" s="14"/>
      <c r="D66" s="14"/>
      <c r="E66" s="14"/>
      <c r="F66" s="14"/>
      <c r="G66" s="13"/>
      <c r="H66" s="13"/>
      <c r="I66" s="13"/>
      <c r="J66" s="13"/>
      <c r="K66" s="29"/>
      <c r="L66" s="29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4"/>
      <c r="AJ66" s="24"/>
    </row>
    <row r="67" ht="15.75" customHeight="1">
      <c r="A67" s="29"/>
      <c r="B67" s="14"/>
      <c r="C67" s="14"/>
      <c r="D67" s="14"/>
      <c r="E67" s="14"/>
      <c r="F67" s="14"/>
      <c r="G67" s="13"/>
      <c r="H67" s="13"/>
      <c r="I67" s="13"/>
      <c r="J67" s="13"/>
      <c r="K67" s="29"/>
      <c r="L67" s="29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4"/>
      <c r="AJ67" s="24"/>
    </row>
    <row r="68" ht="15.75" customHeight="1">
      <c r="A68" s="29"/>
      <c r="B68" s="14"/>
      <c r="C68" s="14"/>
      <c r="D68" s="14"/>
      <c r="E68" s="14"/>
      <c r="F68" s="14"/>
      <c r="G68" s="13"/>
      <c r="H68" s="13"/>
      <c r="I68" s="13"/>
      <c r="J68" s="13"/>
      <c r="K68" s="29"/>
      <c r="L68" s="29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4"/>
      <c r="AJ68" s="24"/>
    </row>
    <row r="69" ht="15.75" customHeight="1">
      <c r="A69" s="29"/>
      <c r="B69" s="14"/>
      <c r="C69" s="14"/>
      <c r="D69" s="14"/>
      <c r="E69" s="14"/>
      <c r="F69" s="14"/>
      <c r="G69" s="13"/>
      <c r="H69" s="13"/>
      <c r="I69" s="13"/>
      <c r="J69" s="13"/>
      <c r="K69" s="29"/>
      <c r="L69" s="29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4"/>
      <c r="AJ69" s="24"/>
    </row>
    <row r="70" ht="15.75" customHeight="1">
      <c r="A70" s="29"/>
      <c r="B70" s="14"/>
      <c r="C70" s="14"/>
      <c r="D70" s="14"/>
      <c r="E70" s="14"/>
      <c r="F70" s="14"/>
      <c r="G70" s="13"/>
      <c r="H70" s="13"/>
      <c r="I70" s="13"/>
      <c r="J70" s="13"/>
      <c r="K70" s="29"/>
      <c r="L70" s="29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4"/>
      <c r="AJ70" s="24"/>
    </row>
    <row r="71" ht="15.75" customHeight="1">
      <c r="A71" s="29"/>
      <c r="B71" s="14"/>
      <c r="C71" s="14"/>
      <c r="D71" s="14"/>
      <c r="E71" s="14"/>
      <c r="F71" s="14"/>
      <c r="G71" s="13"/>
      <c r="H71" s="13"/>
      <c r="I71" s="13"/>
      <c r="J71" s="13"/>
      <c r="K71" s="29"/>
      <c r="L71" s="29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4"/>
      <c r="AJ71" s="24"/>
    </row>
    <row r="72" ht="15.75" customHeight="1">
      <c r="A72" s="29"/>
      <c r="B72" s="14"/>
      <c r="C72" s="14"/>
      <c r="D72" s="14"/>
      <c r="E72" s="14"/>
      <c r="F72" s="14"/>
      <c r="G72" s="13"/>
      <c r="H72" s="13"/>
      <c r="I72" s="13"/>
      <c r="J72" s="13"/>
      <c r="K72" s="29"/>
      <c r="L72" s="29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4"/>
      <c r="AJ72" s="24"/>
    </row>
    <row r="73" ht="15.75" customHeight="1">
      <c r="A73" s="29"/>
      <c r="B73" s="14"/>
      <c r="C73" s="14"/>
      <c r="D73" s="14"/>
      <c r="E73" s="14"/>
      <c r="F73" s="14"/>
      <c r="G73" s="13"/>
      <c r="H73" s="13"/>
      <c r="I73" s="13"/>
      <c r="J73" s="13"/>
      <c r="K73" s="29"/>
      <c r="L73" s="29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4"/>
      <c r="AJ73" s="24"/>
    </row>
    <row r="74" ht="15.75" customHeight="1">
      <c r="A74" s="29"/>
      <c r="B74" s="14"/>
      <c r="C74" s="14"/>
      <c r="D74" s="14"/>
      <c r="E74" s="14"/>
      <c r="F74" s="14"/>
      <c r="G74" s="13"/>
      <c r="H74" s="13"/>
      <c r="I74" s="13"/>
      <c r="J74" s="13"/>
      <c r="K74" s="29"/>
      <c r="L74" s="29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4"/>
      <c r="AJ74" s="24"/>
    </row>
    <row r="75" ht="15.75" customHeight="1">
      <c r="A75" s="29"/>
      <c r="B75" s="14"/>
      <c r="C75" s="14"/>
      <c r="D75" s="14"/>
      <c r="E75" s="14"/>
      <c r="F75" s="14"/>
      <c r="G75" s="13"/>
      <c r="H75" s="13"/>
      <c r="I75" s="13"/>
      <c r="J75" s="13"/>
      <c r="K75" s="29"/>
      <c r="L75" s="29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4"/>
      <c r="AJ75" s="24"/>
    </row>
    <row r="76" ht="15.75" customHeight="1">
      <c r="A76" s="29"/>
      <c r="B76" s="14"/>
      <c r="C76" s="14"/>
      <c r="D76" s="14"/>
      <c r="E76" s="14"/>
      <c r="F76" s="14"/>
      <c r="G76" s="13"/>
      <c r="H76" s="13"/>
      <c r="I76" s="13"/>
      <c r="J76" s="13"/>
      <c r="K76" s="29"/>
      <c r="L76" s="29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4"/>
      <c r="AJ76" s="24"/>
    </row>
    <row r="77" ht="15.75" customHeight="1">
      <c r="A77" s="29"/>
      <c r="B77" s="14"/>
      <c r="C77" s="14"/>
      <c r="D77" s="14"/>
      <c r="E77" s="14"/>
      <c r="F77" s="14"/>
      <c r="G77" s="13"/>
      <c r="H77" s="13"/>
      <c r="I77" s="13"/>
      <c r="J77" s="13"/>
      <c r="K77" s="29"/>
      <c r="L77" s="29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4"/>
      <c r="AJ77" s="24"/>
    </row>
    <row r="78" ht="15.75" customHeight="1">
      <c r="A78" s="29"/>
      <c r="B78" s="14"/>
      <c r="C78" s="14"/>
      <c r="D78" s="14"/>
      <c r="E78" s="14"/>
      <c r="F78" s="14"/>
      <c r="G78" s="13"/>
      <c r="H78" s="13"/>
      <c r="I78" s="13"/>
      <c r="J78" s="13"/>
      <c r="K78" s="29"/>
      <c r="L78" s="29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4"/>
      <c r="AJ78" s="24"/>
    </row>
    <row r="79" ht="15.75" customHeight="1">
      <c r="A79" s="29"/>
      <c r="B79" s="14"/>
      <c r="C79" s="14"/>
      <c r="D79" s="14"/>
      <c r="E79" s="14"/>
      <c r="F79" s="14"/>
      <c r="G79" s="13"/>
      <c r="H79" s="13"/>
      <c r="I79" s="13"/>
      <c r="J79" s="13"/>
      <c r="K79" s="29"/>
      <c r="L79" s="29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4"/>
      <c r="AJ79" s="24"/>
    </row>
    <row r="80" ht="15.75" customHeight="1">
      <c r="A80" s="29"/>
      <c r="B80" s="14"/>
      <c r="C80" s="14"/>
      <c r="D80" s="14"/>
      <c r="E80" s="14"/>
      <c r="F80" s="14"/>
      <c r="G80" s="13"/>
      <c r="H80" s="13"/>
      <c r="I80" s="13"/>
      <c r="J80" s="13"/>
      <c r="K80" s="29"/>
      <c r="L80" s="29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4"/>
      <c r="AJ80" s="24"/>
    </row>
    <row r="81" ht="15.75" customHeight="1">
      <c r="A81" s="29"/>
      <c r="B81" s="14"/>
      <c r="C81" s="14"/>
      <c r="D81" s="14"/>
      <c r="E81" s="14"/>
      <c r="F81" s="14"/>
      <c r="G81" s="13"/>
      <c r="H81" s="13"/>
      <c r="I81" s="13"/>
      <c r="J81" s="13"/>
      <c r="K81" s="29"/>
      <c r="L81" s="29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4"/>
      <c r="AJ81" s="24"/>
    </row>
    <row r="82" ht="15.75" customHeight="1">
      <c r="A82" s="29"/>
      <c r="B82" s="14"/>
      <c r="C82" s="14"/>
      <c r="D82" s="14"/>
      <c r="E82" s="14"/>
      <c r="F82" s="14"/>
      <c r="G82" s="13"/>
      <c r="H82" s="13"/>
      <c r="I82" s="13"/>
      <c r="J82" s="13"/>
      <c r="K82" s="29"/>
      <c r="L82" s="29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4"/>
      <c r="AJ82" s="24"/>
    </row>
    <row r="83" ht="15.75" customHeight="1">
      <c r="A83" s="29"/>
      <c r="B83" s="14"/>
      <c r="C83" s="14"/>
      <c r="D83" s="14"/>
      <c r="E83" s="14"/>
      <c r="F83" s="14"/>
      <c r="G83" s="13"/>
      <c r="H83" s="13"/>
      <c r="I83" s="13"/>
      <c r="J83" s="13"/>
      <c r="K83" s="29"/>
      <c r="L83" s="29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4"/>
      <c r="AJ83" s="24"/>
    </row>
    <row r="84" ht="15.75" customHeight="1">
      <c r="A84" s="29"/>
      <c r="B84" s="14"/>
      <c r="C84" s="14"/>
      <c r="D84" s="14"/>
      <c r="E84" s="14"/>
      <c r="F84" s="14"/>
      <c r="G84" s="13"/>
      <c r="H84" s="13"/>
      <c r="I84" s="13"/>
      <c r="J84" s="13"/>
      <c r="K84" s="29"/>
      <c r="L84" s="29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4"/>
      <c r="AJ84" s="24"/>
    </row>
    <row r="85" ht="15.75" customHeight="1">
      <c r="A85" s="29"/>
      <c r="B85" s="14"/>
      <c r="C85" s="14"/>
      <c r="D85" s="14"/>
      <c r="E85" s="14"/>
      <c r="F85" s="14"/>
      <c r="G85" s="13"/>
      <c r="H85" s="13"/>
      <c r="I85" s="13"/>
      <c r="J85" s="13"/>
      <c r="K85" s="29"/>
      <c r="L85" s="29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4"/>
      <c r="AJ85" s="24"/>
    </row>
    <row r="86" ht="15.75" customHeight="1">
      <c r="A86" s="29"/>
      <c r="B86" s="14"/>
      <c r="C86" s="14"/>
      <c r="D86" s="14"/>
      <c r="E86" s="14"/>
      <c r="F86" s="14"/>
      <c r="G86" s="13"/>
      <c r="H86" s="13"/>
      <c r="I86" s="13"/>
      <c r="J86" s="13"/>
      <c r="K86" s="29"/>
      <c r="L86" s="29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4"/>
      <c r="AJ86" s="24"/>
    </row>
    <row r="87" ht="15.75" customHeight="1">
      <c r="A87" s="29"/>
      <c r="B87" s="14"/>
      <c r="C87" s="14"/>
      <c r="D87" s="14"/>
      <c r="E87" s="14"/>
      <c r="F87" s="14"/>
      <c r="G87" s="13"/>
      <c r="H87" s="13"/>
      <c r="I87" s="13"/>
      <c r="J87" s="13"/>
      <c r="K87" s="29"/>
      <c r="L87" s="29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4"/>
      <c r="AJ87" s="24"/>
    </row>
    <row r="88" ht="15.75" customHeight="1">
      <c r="A88" s="29"/>
      <c r="B88" s="14"/>
      <c r="C88" s="14"/>
      <c r="D88" s="14"/>
      <c r="E88" s="14"/>
      <c r="F88" s="14"/>
      <c r="G88" s="13"/>
      <c r="H88" s="13"/>
      <c r="I88" s="13"/>
      <c r="J88" s="13"/>
      <c r="K88" s="29"/>
      <c r="L88" s="29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4"/>
      <c r="AJ88" s="24"/>
    </row>
    <row r="89" ht="15.75" customHeight="1">
      <c r="A89" s="29"/>
      <c r="B89" s="14"/>
      <c r="C89" s="14"/>
      <c r="D89" s="14"/>
      <c r="E89" s="14"/>
      <c r="F89" s="14"/>
      <c r="G89" s="13"/>
      <c r="H89" s="13"/>
      <c r="I89" s="13"/>
      <c r="J89" s="13"/>
      <c r="K89" s="29"/>
      <c r="L89" s="29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4"/>
      <c r="AJ89" s="24"/>
    </row>
    <row r="90" ht="15.75" customHeight="1">
      <c r="A90" s="29"/>
      <c r="B90" s="14"/>
      <c r="C90" s="14"/>
      <c r="D90" s="14"/>
      <c r="E90" s="14"/>
      <c r="F90" s="14"/>
      <c r="G90" s="13"/>
      <c r="H90" s="13"/>
      <c r="I90" s="13"/>
      <c r="J90" s="13"/>
      <c r="K90" s="29"/>
      <c r="L90" s="29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4"/>
      <c r="AJ90" s="24"/>
    </row>
    <row r="91" ht="15.75" customHeight="1">
      <c r="A91" s="29"/>
      <c r="B91" s="14"/>
      <c r="C91" s="14"/>
      <c r="D91" s="14"/>
      <c r="E91" s="14"/>
      <c r="F91" s="14"/>
      <c r="G91" s="13"/>
      <c r="H91" s="13"/>
      <c r="I91" s="13"/>
      <c r="J91" s="13"/>
      <c r="K91" s="29"/>
      <c r="L91" s="29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4"/>
      <c r="AJ91" s="24"/>
    </row>
    <row r="92" ht="15.75" customHeight="1">
      <c r="A92" s="29"/>
      <c r="B92" s="14"/>
      <c r="C92" s="14"/>
      <c r="D92" s="14"/>
      <c r="E92" s="14"/>
      <c r="F92" s="14"/>
      <c r="G92" s="13"/>
      <c r="H92" s="13"/>
      <c r="I92" s="13"/>
      <c r="J92" s="13"/>
      <c r="K92" s="29"/>
      <c r="L92" s="29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4"/>
      <c r="AJ92" s="24"/>
    </row>
    <row r="93" ht="15.75" customHeight="1">
      <c r="A93" s="29"/>
      <c r="B93" s="14"/>
      <c r="C93" s="14"/>
      <c r="D93" s="14"/>
      <c r="E93" s="14"/>
      <c r="F93" s="14"/>
      <c r="G93" s="13"/>
      <c r="H93" s="13"/>
      <c r="I93" s="13"/>
      <c r="J93" s="13"/>
      <c r="K93" s="29"/>
      <c r="L93" s="29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4"/>
      <c r="AJ93" s="24"/>
    </row>
    <row r="94" ht="15.75" customHeight="1">
      <c r="A94" s="29"/>
      <c r="B94" s="14"/>
      <c r="C94" s="14"/>
      <c r="D94" s="14"/>
      <c r="E94" s="14"/>
      <c r="F94" s="14"/>
      <c r="G94" s="13"/>
      <c r="H94" s="13"/>
      <c r="I94" s="13"/>
      <c r="J94" s="13"/>
      <c r="K94" s="29"/>
      <c r="L94" s="29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4"/>
      <c r="AJ94" s="24"/>
    </row>
    <row r="95" ht="15.75" customHeight="1">
      <c r="A95" s="29"/>
      <c r="B95" s="14"/>
      <c r="C95" s="14"/>
      <c r="D95" s="14"/>
      <c r="E95" s="14"/>
      <c r="F95" s="14"/>
      <c r="G95" s="13"/>
      <c r="H95" s="13"/>
      <c r="I95" s="13"/>
      <c r="J95" s="13"/>
      <c r="K95" s="29"/>
      <c r="L95" s="29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4"/>
      <c r="AJ95" s="24"/>
    </row>
    <row r="96" ht="15.75" customHeight="1">
      <c r="A96" s="29"/>
      <c r="B96" s="14"/>
      <c r="C96" s="14"/>
      <c r="D96" s="14"/>
      <c r="E96" s="14"/>
      <c r="F96" s="14"/>
      <c r="G96" s="13"/>
      <c r="H96" s="13"/>
      <c r="I96" s="13"/>
      <c r="J96" s="13"/>
      <c r="K96" s="29"/>
      <c r="L96" s="29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4"/>
      <c r="AJ96" s="24"/>
    </row>
    <row r="97" ht="15.75" customHeight="1">
      <c r="A97" s="29"/>
      <c r="B97" s="14"/>
      <c r="C97" s="14"/>
      <c r="D97" s="14"/>
      <c r="E97" s="14"/>
      <c r="F97" s="14"/>
      <c r="G97" s="13"/>
      <c r="H97" s="13"/>
      <c r="I97" s="13"/>
      <c r="J97" s="13"/>
      <c r="K97" s="29"/>
      <c r="L97" s="29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4"/>
      <c r="AJ97" s="24"/>
    </row>
    <row r="98" ht="15.75" customHeight="1">
      <c r="A98" s="29"/>
      <c r="B98" s="14"/>
      <c r="C98" s="14"/>
      <c r="D98" s="14"/>
      <c r="E98" s="14"/>
      <c r="F98" s="14"/>
      <c r="G98" s="13"/>
      <c r="H98" s="13"/>
      <c r="I98" s="13"/>
      <c r="J98" s="13"/>
      <c r="K98" s="29"/>
      <c r="L98" s="29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4"/>
      <c r="AJ98" s="24"/>
    </row>
    <row r="99" ht="15.75" customHeight="1">
      <c r="A99" s="29"/>
      <c r="B99" s="14"/>
      <c r="C99" s="14"/>
      <c r="D99" s="14"/>
      <c r="E99" s="14"/>
      <c r="F99" s="14"/>
      <c r="G99" s="13"/>
      <c r="H99" s="13"/>
      <c r="I99" s="13"/>
      <c r="J99" s="13"/>
      <c r="K99" s="29"/>
      <c r="L99" s="29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4"/>
      <c r="AJ99" s="24"/>
    </row>
    <row r="100" ht="15.75" customHeight="1">
      <c r="A100" s="29"/>
      <c r="B100" s="14"/>
      <c r="C100" s="14"/>
      <c r="D100" s="14"/>
      <c r="E100" s="14"/>
      <c r="F100" s="14"/>
      <c r="G100" s="13"/>
      <c r="H100" s="13"/>
      <c r="I100" s="13"/>
      <c r="J100" s="13"/>
      <c r="K100" s="29"/>
      <c r="L100" s="29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4"/>
      <c r="AJ100" s="24"/>
    </row>
    <row r="101" ht="15.75" customHeight="1">
      <c r="A101" s="29"/>
      <c r="B101" s="14"/>
      <c r="C101" s="14"/>
      <c r="D101" s="14"/>
      <c r="E101" s="14"/>
      <c r="F101" s="14"/>
      <c r="G101" s="13"/>
      <c r="H101" s="13"/>
      <c r="I101" s="13"/>
      <c r="J101" s="13"/>
      <c r="K101" s="29"/>
      <c r="L101" s="29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4"/>
      <c r="AJ101" s="24"/>
    </row>
    <row r="102" ht="15.75" customHeight="1">
      <c r="A102" s="29"/>
      <c r="B102" s="14"/>
      <c r="C102" s="14"/>
      <c r="D102" s="14"/>
      <c r="E102" s="14"/>
      <c r="F102" s="14"/>
      <c r="G102" s="13"/>
      <c r="H102" s="13"/>
      <c r="I102" s="13"/>
      <c r="J102" s="13"/>
      <c r="K102" s="29"/>
      <c r="L102" s="29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4"/>
      <c r="AJ102" s="24"/>
    </row>
    <row r="103" ht="15.75" customHeight="1">
      <c r="A103" s="29"/>
      <c r="B103" s="14"/>
      <c r="C103" s="14"/>
      <c r="D103" s="14"/>
      <c r="E103" s="14"/>
      <c r="F103" s="14"/>
      <c r="G103" s="13"/>
      <c r="H103" s="13"/>
      <c r="I103" s="13"/>
      <c r="J103" s="13"/>
      <c r="K103" s="29"/>
      <c r="L103" s="29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4"/>
      <c r="AJ103" s="24"/>
    </row>
    <row r="104" ht="15.75" customHeight="1">
      <c r="A104" s="29"/>
      <c r="B104" s="14"/>
      <c r="C104" s="14"/>
      <c r="D104" s="14"/>
      <c r="E104" s="14"/>
      <c r="F104" s="14"/>
      <c r="G104" s="13"/>
      <c r="H104" s="13"/>
      <c r="I104" s="13"/>
      <c r="J104" s="13"/>
      <c r="K104" s="29"/>
      <c r="L104" s="29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4"/>
      <c r="AJ104" s="24"/>
    </row>
    <row r="105" ht="15.75" customHeight="1">
      <c r="A105" s="29"/>
      <c r="B105" s="14"/>
      <c r="C105" s="14"/>
      <c r="D105" s="14"/>
      <c r="E105" s="14"/>
      <c r="F105" s="14"/>
      <c r="G105" s="13"/>
      <c r="H105" s="13"/>
      <c r="I105" s="13"/>
      <c r="J105" s="13"/>
      <c r="K105" s="29"/>
      <c r="L105" s="29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4"/>
      <c r="AJ105" s="24"/>
    </row>
    <row r="106" ht="15.75" customHeight="1">
      <c r="A106" s="29"/>
      <c r="B106" s="14"/>
      <c r="C106" s="14"/>
      <c r="D106" s="14"/>
      <c r="E106" s="14"/>
      <c r="F106" s="14"/>
      <c r="G106" s="13"/>
      <c r="H106" s="13"/>
      <c r="I106" s="13"/>
      <c r="J106" s="13"/>
      <c r="K106" s="29"/>
      <c r="L106" s="29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4"/>
      <c r="AJ106" s="24"/>
    </row>
    <row r="107" ht="15.75" customHeight="1">
      <c r="A107" s="29"/>
      <c r="B107" s="14"/>
      <c r="C107" s="14"/>
      <c r="D107" s="14"/>
      <c r="E107" s="14"/>
      <c r="F107" s="14"/>
      <c r="G107" s="13"/>
      <c r="H107" s="13"/>
      <c r="I107" s="13"/>
      <c r="J107" s="13"/>
      <c r="K107" s="29"/>
      <c r="L107" s="29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4"/>
      <c r="AJ107" s="24"/>
    </row>
    <row r="108" ht="15.75" customHeight="1">
      <c r="A108" s="29"/>
      <c r="B108" s="14"/>
      <c r="C108" s="14"/>
      <c r="D108" s="14"/>
      <c r="E108" s="14"/>
      <c r="F108" s="14"/>
      <c r="G108" s="13"/>
      <c r="H108" s="13"/>
      <c r="I108" s="13"/>
      <c r="J108" s="13"/>
      <c r="K108" s="29"/>
      <c r="L108" s="29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4"/>
      <c r="AJ108" s="24"/>
    </row>
    <row r="109" ht="15.75" customHeight="1">
      <c r="A109" s="29"/>
      <c r="B109" s="14"/>
      <c r="C109" s="14"/>
      <c r="D109" s="14"/>
      <c r="E109" s="14"/>
      <c r="F109" s="14"/>
      <c r="G109" s="13"/>
      <c r="H109" s="13"/>
      <c r="I109" s="13"/>
      <c r="J109" s="13"/>
      <c r="K109" s="29"/>
      <c r="L109" s="29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4"/>
      <c r="AJ109" s="24"/>
    </row>
    <row r="110" ht="15.75" customHeight="1">
      <c r="A110" s="29"/>
      <c r="B110" s="14"/>
      <c r="C110" s="14"/>
      <c r="D110" s="14"/>
      <c r="E110" s="14"/>
      <c r="F110" s="14"/>
      <c r="G110" s="13"/>
      <c r="H110" s="13"/>
      <c r="I110" s="13"/>
      <c r="J110" s="13"/>
      <c r="K110" s="29"/>
      <c r="L110" s="29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4"/>
      <c r="AJ110" s="24"/>
    </row>
    <row r="111" ht="15.75" customHeight="1">
      <c r="A111" s="29"/>
      <c r="B111" s="14"/>
      <c r="C111" s="14"/>
      <c r="D111" s="14"/>
      <c r="E111" s="14"/>
      <c r="F111" s="14"/>
      <c r="G111" s="13"/>
      <c r="H111" s="13"/>
      <c r="I111" s="13"/>
      <c r="J111" s="13"/>
      <c r="K111" s="29"/>
      <c r="L111" s="29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4"/>
      <c r="AJ111" s="24"/>
    </row>
    <row r="112" ht="15.75" customHeight="1">
      <c r="A112" s="29"/>
      <c r="B112" s="14"/>
      <c r="C112" s="14"/>
      <c r="D112" s="14"/>
      <c r="E112" s="14"/>
      <c r="F112" s="14"/>
      <c r="G112" s="13"/>
      <c r="H112" s="13"/>
      <c r="I112" s="13"/>
      <c r="J112" s="13"/>
      <c r="K112" s="29"/>
      <c r="L112" s="29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4"/>
      <c r="AJ112" s="24"/>
    </row>
    <row r="113" ht="15.75" customHeight="1">
      <c r="A113" s="29"/>
      <c r="B113" s="14"/>
      <c r="C113" s="14"/>
      <c r="D113" s="14"/>
      <c r="E113" s="14"/>
      <c r="F113" s="14"/>
      <c r="G113" s="13"/>
      <c r="H113" s="13"/>
      <c r="I113" s="13"/>
      <c r="J113" s="13"/>
      <c r="K113" s="29"/>
      <c r="L113" s="29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4"/>
      <c r="AJ113" s="24"/>
    </row>
    <row r="114" ht="15.75" customHeight="1">
      <c r="A114" s="29"/>
      <c r="B114" s="14"/>
      <c r="C114" s="14"/>
      <c r="D114" s="14"/>
      <c r="E114" s="14"/>
      <c r="F114" s="14"/>
      <c r="G114" s="13"/>
      <c r="H114" s="13"/>
      <c r="I114" s="13"/>
      <c r="J114" s="13"/>
      <c r="K114" s="29"/>
      <c r="L114" s="29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4"/>
      <c r="AJ114" s="24"/>
    </row>
    <row r="115" ht="15.75" customHeight="1">
      <c r="A115" s="29"/>
      <c r="B115" s="14"/>
      <c r="C115" s="14"/>
      <c r="D115" s="14"/>
      <c r="E115" s="14"/>
      <c r="F115" s="14"/>
      <c r="G115" s="13"/>
      <c r="H115" s="13"/>
      <c r="I115" s="13"/>
      <c r="J115" s="13"/>
      <c r="K115" s="29"/>
      <c r="L115" s="29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4"/>
      <c r="AJ115" s="24"/>
    </row>
    <row r="116" ht="15.75" customHeight="1">
      <c r="A116" s="29"/>
      <c r="B116" s="14"/>
      <c r="C116" s="14"/>
      <c r="D116" s="14"/>
      <c r="E116" s="14"/>
      <c r="F116" s="14"/>
      <c r="G116" s="13"/>
      <c r="H116" s="13"/>
      <c r="I116" s="13"/>
      <c r="J116" s="13"/>
      <c r="K116" s="29"/>
      <c r="L116" s="29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4"/>
      <c r="AJ116" s="24"/>
    </row>
    <row r="117" ht="15.75" customHeight="1">
      <c r="A117" s="29"/>
      <c r="B117" s="14"/>
      <c r="C117" s="14"/>
      <c r="D117" s="14"/>
      <c r="E117" s="14"/>
      <c r="F117" s="14"/>
      <c r="G117" s="13"/>
      <c r="H117" s="13"/>
      <c r="I117" s="13"/>
      <c r="J117" s="13"/>
      <c r="K117" s="29"/>
      <c r="L117" s="29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4"/>
      <c r="AJ117" s="24"/>
    </row>
    <row r="118" ht="15.75" customHeight="1">
      <c r="A118" s="29"/>
      <c r="B118" s="14"/>
      <c r="C118" s="14"/>
      <c r="D118" s="14"/>
      <c r="E118" s="14"/>
      <c r="F118" s="14"/>
      <c r="G118" s="13"/>
      <c r="H118" s="13"/>
      <c r="I118" s="13"/>
      <c r="J118" s="13"/>
      <c r="K118" s="29"/>
      <c r="L118" s="29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4"/>
      <c r="AJ118" s="24"/>
    </row>
    <row r="119" ht="15.75" customHeight="1">
      <c r="A119" s="29"/>
      <c r="B119" s="14"/>
      <c r="C119" s="14"/>
      <c r="D119" s="14"/>
      <c r="E119" s="14"/>
      <c r="F119" s="14"/>
      <c r="G119" s="13"/>
      <c r="H119" s="13"/>
      <c r="I119" s="13"/>
      <c r="J119" s="13"/>
      <c r="K119" s="29"/>
      <c r="L119" s="29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4"/>
      <c r="AJ119" s="24"/>
    </row>
    <row r="120" ht="15.75" customHeight="1">
      <c r="A120" s="29"/>
      <c r="B120" s="14"/>
      <c r="C120" s="14"/>
      <c r="D120" s="14"/>
      <c r="E120" s="14"/>
      <c r="F120" s="14"/>
      <c r="G120" s="13"/>
      <c r="H120" s="13"/>
      <c r="I120" s="13"/>
      <c r="J120" s="13"/>
      <c r="K120" s="29"/>
      <c r="L120" s="29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4"/>
      <c r="AJ120" s="24"/>
    </row>
    <row r="121" ht="15.75" customHeight="1">
      <c r="A121" s="29"/>
      <c r="B121" s="14"/>
      <c r="C121" s="14"/>
      <c r="D121" s="14"/>
      <c r="E121" s="14"/>
      <c r="F121" s="14"/>
      <c r="G121" s="13"/>
      <c r="H121" s="13"/>
      <c r="I121" s="13"/>
      <c r="J121" s="13"/>
      <c r="K121" s="29"/>
      <c r="L121" s="29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4"/>
      <c r="AJ121" s="24"/>
    </row>
    <row r="122" ht="15.75" customHeight="1">
      <c r="A122" s="29"/>
      <c r="B122" s="14"/>
      <c r="C122" s="14"/>
      <c r="D122" s="14"/>
      <c r="E122" s="14"/>
      <c r="F122" s="14"/>
      <c r="G122" s="13"/>
      <c r="H122" s="13"/>
      <c r="I122" s="13"/>
      <c r="J122" s="13"/>
      <c r="K122" s="29"/>
      <c r="L122" s="29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4"/>
      <c r="AJ122" s="24"/>
    </row>
    <row r="123" ht="15.75" customHeight="1">
      <c r="A123" s="29"/>
      <c r="B123" s="14"/>
      <c r="C123" s="14"/>
      <c r="D123" s="14"/>
      <c r="E123" s="14"/>
      <c r="F123" s="14"/>
      <c r="G123" s="13"/>
      <c r="H123" s="13"/>
      <c r="I123" s="13"/>
      <c r="J123" s="13"/>
      <c r="K123" s="29"/>
      <c r="L123" s="29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4"/>
      <c r="AJ123" s="24"/>
    </row>
    <row r="124" ht="15.75" customHeight="1">
      <c r="A124" s="29"/>
      <c r="B124" s="14"/>
      <c r="C124" s="14"/>
      <c r="D124" s="14"/>
      <c r="E124" s="14"/>
      <c r="F124" s="14"/>
      <c r="G124" s="13"/>
      <c r="H124" s="13"/>
      <c r="I124" s="13"/>
      <c r="J124" s="13"/>
      <c r="K124" s="29"/>
      <c r="L124" s="29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4"/>
      <c r="AJ124" s="24"/>
    </row>
    <row r="125" ht="15.75" customHeight="1">
      <c r="A125" s="29"/>
      <c r="B125" s="14"/>
      <c r="C125" s="14"/>
      <c r="D125" s="14"/>
      <c r="E125" s="14"/>
      <c r="F125" s="14"/>
      <c r="G125" s="13"/>
      <c r="H125" s="13"/>
      <c r="I125" s="13"/>
      <c r="J125" s="13"/>
      <c r="K125" s="29"/>
      <c r="L125" s="29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4"/>
      <c r="AJ125" s="24"/>
    </row>
    <row r="126" ht="15.75" customHeight="1">
      <c r="A126" s="29"/>
      <c r="B126" s="14"/>
      <c r="C126" s="14"/>
      <c r="D126" s="14"/>
      <c r="E126" s="14"/>
      <c r="F126" s="14"/>
      <c r="G126" s="13"/>
      <c r="H126" s="13"/>
      <c r="I126" s="13"/>
      <c r="J126" s="13"/>
      <c r="K126" s="29"/>
      <c r="L126" s="29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4"/>
      <c r="AJ126" s="24"/>
    </row>
    <row r="127" ht="15.75" customHeight="1">
      <c r="A127" s="29"/>
      <c r="B127" s="14"/>
      <c r="C127" s="14"/>
      <c r="D127" s="14"/>
      <c r="E127" s="14"/>
      <c r="F127" s="14"/>
      <c r="G127" s="13"/>
      <c r="H127" s="13"/>
      <c r="I127" s="13"/>
      <c r="J127" s="13"/>
      <c r="K127" s="29"/>
      <c r="L127" s="29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4"/>
      <c r="AJ127" s="24"/>
    </row>
    <row r="128" ht="15.75" customHeight="1">
      <c r="A128" s="29"/>
      <c r="B128" s="14"/>
      <c r="C128" s="14"/>
      <c r="D128" s="14"/>
      <c r="E128" s="14"/>
      <c r="F128" s="14"/>
      <c r="G128" s="13"/>
      <c r="H128" s="13"/>
      <c r="I128" s="13"/>
      <c r="J128" s="13"/>
      <c r="K128" s="29"/>
      <c r="L128" s="29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4"/>
      <c r="AJ128" s="24"/>
    </row>
    <row r="129" ht="15.75" customHeight="1">
      <c r="A129" s="29"/>
      <c r="B129" s="14"/>
      <c r="C129" s="14"/>
      <c r="D129" s="14"/>
      <c r="E129" s="14"/>
      <c r="F129" s="14"/>
      <c r="G129" s="13"/>
      <c r="H129" s="13"/>
      <c r="I129" s="13"/>
      <c r="J129" s="13"/>
      <c r="K129" s="29"/>
      <c r="L129" s="29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4"/>
      <c r="AJ129" s="24"/>
    </row>
    <row r="130" ht="15.75" customHeight="1">
      <c r="A130" s="29"/>
      <c r="B130" s="14"/>
      <c r="C130" s="14"/>
      <c r="D130" s="14"/>
      <c r="E130" s="14"/>
      <c r="F130" s="14"/>
      <c r="G130" s="13"/>
      <c r="H130" s="13"/>
      <c r="I130" s="13"/>
      <c r="J130" s="13"/>
      <c r="K130" s="29"/>
      <c r="L130" s="29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4"/>
      <c r="AJ130" s="24"/>
    </row>
    <row r="131" ht="15.75" customHeight="1">
      <c r="A131" s="29"/>
      <c r="B131" s="14"/>
      <c r="C131" s="14"/>
      <c r="D131" s="14"/>
      <c r="E131" s="14"/>
      <c r="F131" s="14"/>
      <c r="G131" s="13"/>
      <c r="H131" s="13"/>
      <c r="I131" s="13"/>
      <c r="J131" s="13"/>
      <c r="K131" s="29"/>
      <c r="L131" s="29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4"/>
      <c r="AJ131" s="24"/>
    </row>
    <row r="132" ht="15.75" customHeight="1">
      <c r="A132" s="29"/>
      <c r="B132" s="14"/>
      <c r="C132" s="14"/>
      <c r="D132" s="14"/>
      <c r="E132" s="14"/>
      <c r="F132" s="14"/>
      <c r="G132" s="13"/>
      <c r="H132" s="13"/>
      <c r="I132" s="13"/>
      <c r="J132" s="13"/>
      <c r="K132" s="29"/>
      <c r="L132" s="29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4"/>
      <c r="AJ132" s="24"/>
    </row>
    <row r="133" ht="15.75" customHeight="1">
      <c r="A133" s="29"/>
      <c r="B133" s="14"/>
      <c r="C133" s="14"/>
      <c r="D133" s="14"/>
      <c r="E133" s="14"/>
      <c r="F133" s="14"/>
      <c r="G133" s="13"/>
      <c r="H133" s="13"/>
      <c r="I133" s="13"/>
      <c r="J133" s="13"/>
      <c r="K133" s="29"/>
      <c r="L133" s="29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4"/>
      <c r="AJ133" s="24"/>
    </row>
    <row r="134" ht="15.75" customHeight="1">
      <c r="A134" s="29"/>
      <c r="B134" s="14"/>
      <c r="C134" s="14"/>
      <c r="D134" s="14"/>
      <c r="E134" s="14"/>
      <c r="F134" s="14"/>
      <c r="G134" s="13"/>
      <c r="H134" s="13"/>
      <c r="I134" s="13"/>
      <c r="J134" s="13"/>
      <c r="K134" s="29"/>
      <c r="L134" s="29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4"/>
      <c r="AJ134" s="24"/>
    </row>
    <row r="135" ht="15.75" customHeight="1">
      <c r="A135" s="29"/>
      <c r="B135" s="14"/>
      <c r="C135" s="14"/>
      <c r="D135" s="14"/>
      <c r="E135" s="14"/>
      <c r="F135" s="14"/>
      <c r="G135" s="13"/>
      <c r="H135" s="13"/>
      <c r="I135" s="13"/>
      <c r="J135" s="13"/>
      <c r="K135" s="29"/>
      <c r="L135" s="29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4"/>
      <c r="AJ135" s="24"/>
    </row>
    <row r="136" ht="15.75" customHeight="1">
      <c r="A136" s="29"/>
      <c r="B136" s="14"/>
      <c r="C136" s="14"/>
      <c r="D136" s="14"/>
      <c r="E136" s="14"/>
      <c r="F136" s="14"/>
      <c r="G136" s="13"/>
      <c r="H136" s="13"/>
      <c r="I136" s="13"/>
      <c r="J136" s="13"/>
      <c r="K136" s="29"/>
      <c r="L136" s="29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4"/>
      <c r="AJ136" s="24"/>
    </row>
    <row r="137" ht="15.75" customHeight="1">
      <c r="A137" s="29"/>
      <c r="B137" s="14"/>
      <c r="C137" s="14"/>
      <c r="D137" s="14"/>
      <c r="E137" s="14"/>
      <c r="F137" s="14"/>
      <c r="G137" s="13"/>
      <c r="H137" s="13"/>
      <c r="I137" s="13"/>
      <c r="J137" s="13"/>
      <c r="K137" s="29"/>
      <c r="L137" s="29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4"/>
      <c r="AJ137" s="24"/>
    </row>
    <row r="138" ht="15.75" customHeight="1">
      <c r="A138" s="29"/>
      <c r="B138" s="14"/>
      <c r="C138" s="14"/>
      <c r="D138" s="14"/>
      <c r="E138" s="14"/>
      <c r="F138" s="14"/>
      <c r="G138" s="13"/>
      <c r="H138" s="13"/>
      <c r="I138" s="13"/>
      <c r="J138" s="13"/>
      <c r="K138" s="29"/>
      <c r="L138" s="29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4"/>
      <c r="AJ138" s="24"/>
    </row>
    <row r="139" ht="15.75" customHeight="1">
      <c r="A139" s="29"/>
      <c r="B139" s="14"/>
      <c r="C139" s="14"/>
      <c r="D139" s="14"/>
      <c r="E139" s="14"/>
      <c r="F139" s="14"/>
      <c r="G139" s="13"/>
      <c r="H139" s="13"/>
      <c r="I139" s="13"/>
      <c r="J139" s="13"/>
      <c r="K139" s="29"/>
      <c r="L139" s="29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4"/>
      <c r="AJ139" s="24"/>
    </row>
    <row r="140" ht="15.75" customHeight="1">
      <c r="A140" s="29"/>
      <c r="B140" s="14"/>
      <c r="C140" s="14"/>
      <c r="D140" s="14"/>
      <c r="E140" s="14"/>
      <c r="F140" s="14"/>
      <c r="G140" s="13"/>
      <c r="H140" s="13"/>
      <c r="I140" s="13"/>
      <c r="J140" s="13"/>
      <c r="K140" s="29"/>
      <c r="L140" s="29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4"/>
      <c r="AJ140" s="24"/>
    </row>
    <row r="141" ht="15.75" customHeight="1">
      <c r="A141" s="29"/>
      <c r="B141" s="14"/>
      <c r="C141" s="14"/>
      <c r="D141" s="14"/>
      <c r="E141" s="14"/>
      <c r="F141" s="14"/>
      <c r="G141" s="13"/>
      <c r="H141" s="13"/>
      <c r="I141" s="13"/>
      <c r="J141" s="13"/>
      <c r="K141" s="29"/>
      <c r="L141" s="29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4"/>
      <c r="AJ141" s="24"/>
    </row>
    <row r="142" ht="15.75" customHeight="1">
      <c r="A142" s="29"/>
      <c r="B142" s="14"/>
      <c r="C142" s="14"/>
      <c r="D142" s="14"/>
      <c r="E142" s="14"/>
      <c r="F142" s="14"/>
      <c r="G142" s="13"/>
      <c r="H142" s="13"/>
      <c r="I142" s="13"/>
      <c r="J142" s="13"/>
      <c r="K142" s="29"/>
      <c r="L142" s="29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4"/>
      <c r="AJ142" s="24"/>
    </row>
    <row r="143" ht="15.75" customHeight="1">
      <c r="A143" s="29"/>
      <c r="B143" s="14"/>
      <c r="C143" s="14"/>
      <c r="D143" s="14"/>
      <c r="E143" s="14"/>
      <c r="F143" s="14"/>
      <c r="G143" s="13"/>
      <c r="H143" s="13"/>
      <c r="I143" s="13"/>
      <c r="J143" s="13"/>
      <c r="K143" s="29"/>
      <c r="L143" s="29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4"/>
      <c r="AJ143" s="24"/>
    </row>
    <row r="144" ht="15.75" customHeight="1">
      <c r="A144" s="29"/>
      <c r="B144" s="14"/>
      <c r="C144" s="14"/>
      <c r="D144" s="14"/>
      <c r="E144" s="14"/>
      <c r="F144" s="14"/>
      <c r="G144" s="13"/>
      <c r="H144" s="13"/>
      <c r="I144" s="13"/>
      <c r="J144" s="13"/>
      <c r="K144" s="29"/>
      <c r="L144" s="29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4"/>
      <c r="AJ144" s="24"/>
    </row>
    <row r="145" ht="15.75" customHeight="1">
      <c r="A145" s="29"/>
      <c r="B145" s="14"/>
      <c r="C145" s="14"/>
      <c r="D145" s="14"/>
      <c r="E145" s="14"/>
      <c r="F145" s="14"/>
      <c r="G145" s="13"/>
      <c r="H145" s="13"/>
      <c r="I145" s="13"/>
      <c r="J145" s="13"/>
      <c r="K145" s="29"/>
      <c r="L145" s="29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4"/>
      <c r="AJ145" s="24"/>
    </row>
    <row r="146" ht="15.75" customHeight="1">
      <c r="A146" s="29"/>
      <c r="B146" s="14"/>
      <c r="C146" s="14"/>
      <c r="D146" s="14"/>
      <c r="E146" s="14"/>
      <c r="F146" s="14"/>
      <c r="G146" s="13"/>
      <c r="H146" s="13"/>
      <c r="I146" s="13"/>
      <c r="J146" s="13"/>
      <c r="K146" s="29"/>
      <c r="L146" s="29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4"/>
      <c r="AJ146" s="24"/>
    </row>
    <row r="147" ht="15.75" customHeight="1">
      <c r="A147" s="29"/>
      <c r="B147" s="14"/>
      <c r="C147" s="14"/>
      <c r="D147" s="14"/>
      <c r="E147" s="14"/>
      <c r="F147" s="14"/>
      <c r="G147" s="13"/>
      <c r="H147" s="13"/>
      <c r="I147" s="13"/>
      <c r="J147" s="13"/>
      <c r="K147" s="29"/>
      <c r="L147" s="29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4"/>
      <c r="AJ147" s="24"/>
    </row>
    <row r="148" ht="15.75" customHeight="1">
      <c r="A148" s="29"/>
      <c r="B148" s="14"/>
      <c r="C148" s="14"/>
      <c r="D148" s="14"/>
      <c r="E148" s="14"/>
      <c r="F148" s="14"/>
      <c r="G148" s="13"/>
      <c r="H148" s="13"/>
      <c r="I148" s="13"/>
      <c r="J148" s="13"/>
      <c r="K148" s="29"/>
      <c r="L148" s="29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4"/>
      <c r="AJ148" s="24"/>
    </row>
    <row r="149" ht="15.75" customHeight="1">
      <c r="A149" s="29"/>
      <c r="B149" s="14"/>
      <c r="C149" s="14"/>
      <c r="D149" s="14"/>
      <c r="E149" s="14"/>
      <c r="F149" s="14"/>
      <c r="G149" s="13"/>
      <c r="H149" s="13"/>
      <c r="I149" s="13"/>
      <c r="J149" s="13"/>
      <c r="K149" s="29"/>
      <c r="L149" s="29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4"/>
      <c r="AJ149" s="24"/>
    </row>
    <row r="150" ht="15.75" customHeight="1">
      <c r="A150" s="29"/>
      <c r="B150" s="14"/>
      <c r="C150" s="14"/>
      <c r="D150" s="14"/>
      <c r="E150" s="14"/>
      <c r="F150" s="14"/>
      <c r="G150" s="13"/>
      <c r="H150" s="13"/>
      <c r="I150" s="13"/>
      <c r="J150" s="13"/>
      <c r="K150" s="29"/>
      <c r="L150" s="29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4"/>
      <c r="AJ150" s="24"/>
    </row>
    <row r="151" ht="15.75" customHeight="1">
      <c r="A151" s="29"/>
      <c r="B151" s="14"/>
      <c r="C151" s="14"/>
      <c r="D151" s="14"/>
      <c r="E151" s="14"/>
      <c r="F151" s="14"/>
      <c r="G151" s="13"/>
      <c r="H151" s="13"/>
      <c r="I151" s="13"/>
      <c r="J151" s="13"/>
      <c r="K151" s="29"/>
      <c r="L151" s="29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4"/>
      <c r="AJ151" s="24"/>
    </row>
    <row r="152" ht="15.75" customHeight="1">
      <c r="A152" s="29"/>
      <c r="B152" s="14"/>
      <c r="C152" s="14"/>
      <c r="D152" s="14"/>
      <c r="E152" s="14"/>
      <c r="F152" s="14"/>
      <c r="G152" s="13"/>
      <c r="H152" s="13"/>
      <c r="I152" s="13"/>
      <c r="J152" s="13"/>
      <c r="K152" s="29"/>
      <c r="L152" s="29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4"/>
      <c r="AJ152" s="24"/>
    </row>
    <row r="153" ht="15.75" customHeight="1">
      <c r="A153" s="29"/>
      <c r="B153" s="14"/>
      <c r="C153" s="14"/>
      <c r="D153" s="14"/>
      <c r="E153" s="14"/>
      <c r="F153" s="14"/>
      <c r="G153" s="13"/>
      <c r="H153" s="13"/>
      <c r="I153" s="13"/>
      <c r="J153" s="13"/>
      <c r="K153" s="29"/>
      <c r="L153" s="29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4"/>
      <c r="AJ153" s="24"/>
    </row>
    <row r="154" ht="15.75" customHeight="1">
      <c r="A154" s="29"/>
      <c r="B154" s="14"/>
      <c r="C154" s="14"/>
      <c r="D154" s="14"/>
      <c r="E154" s="14"/>
      <c r="F154" s="14"/>
      <c r="G154" s="13"/>
      <c r="H154" s="13"/>
      <c r="I154" s="13"/>
      <c r="J154" s="13"/>
      <c r="K154" s="29"/>
      <c r="L154" s="29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4"/>
      <c r="AJ154" s="24"/>
    </row>
    <row r="155" ht="15.75" customHeight="1">
      <c r="A155" s="29"/>
      <c r="B155" s="14"/>
      <c r="C155" s="14"/>
      <c r="D155" s="14"/>
      <c r="E155" s="14"/>
      <c r="F155" s="14"/>
      <c r="G155" s="13"/>
      <c r="H155" s="13"/>
      <c r="I155" s="13"/>
      <c r="J155" s="13"/>
      <c r="K155" s="29"/>
      <c r="L155" s="29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4"/>
      <c r="AJ155" s="24"/>
    </row>
    <row r="156" ht="15.75" customHeight="1">
      <c r="A156" s="29"/>
      <c r="B156" s="14"/>
      <c r="C156" s="14"/>
      <c r="D156" s="14"/>
      <c r="E156" s="14"/>
      <c r="F156" s="14"/>
      <c r="G156" s="13"/>
      <c r="H156" s="13"/>
      <c r="I156" s="13"/>
      <c r="J156" s="13"/>
      <c r="K156" s="29"/>
      <c r="L156" s="29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4"/>
      <c r="AJ156" s="24"/>
    </row>
    <row r="157" ht="15.75" customHeight="1">
      <c r="A157" s="29"/>
      <c r="B157" s="14"/>
      <c r="C157" s="14"/>
      <c r="D157" s="14"/>
      <c r="E157" s="14"/>
      <c r="F157" s="14"/>
      <c r="G157" s="13"/>
      <c r="H157" s="13"/>
      <c r="I157" s="13"/>
      <c r="J157" s="13"/>
      <c r="K157" s="29"/>
      <c r="L157" s="29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4"/>
      <c r="AJ157" s="24"/>
    </row>
    <row r="158" ht="15.75" customHeight="1">
      <c r="A158" s="29"/>
      <c r="B158" s="14"/>
      <c r="C158" s="14"/>
      <c r="D158" s="14"/>
      <c r="E158" s="14"/>
      <c r="F158" s="14"/>
      <c r="G158" s="13"/>
      <c r="H158" s="13"/>
      <c r="I158" s="13"/>
      <c r="J158" s="13"/>
      <c r="K158" s="29"/>
      <c r="L158" s="29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4"/>
      <c r="AJ158" s="24"/>
    </row>
    <row r="159" ht="15.75" customHeight="1">
      <c r="A159" s="29"/>
      <c r="B159" s="14"/>
      <c r="C159" s="14"/>
      <c r="D159" s="14"/>
      <c r="E159" s="14"/>
      <c r="F159" s="14"/>
      <c r="G159" s="13"/>
      <c r="H159" s="13"/>
      <c r="I159" s="13"/>
      <c r="J159" s="13"/>
      <c r="K159" s="29"/>
      <c r="L159" s="29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4"/>
      <c r="AJ159" s="24"/>
    </row>
    <row r="160" ht="15.75" customHeight="1">
      <c r="A160" s="29"/>
      <c r="B160" s="14"/>
      <c r="C160" s="14"/>
      <c r="D160" s="14"/>
      <c r="E160" s="14"/>
      <c r="F160" s="14"/>
      <c r="G160" s="13"/>
      <c r="H160" s="13"/>
      <c r="I160" s="13"/>
      <c r="J160" s="13"/>
      <c r="K160" s="29"/>
      <c r="L160" s="29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4"/>
      <c r="AJ160" s="24"/>
    </row>
    <row r="161" ht="15.75" customHeight="1">
      <c r="A161" s="29"/>
      <c r="B161" s="14"/>
      <c r="C161" s="14"/>
      <c r="D161" s="14"/>
      <c r="E161" s="14"/>
      <c r="F161" s="14"/>
      <c r="G161" s="13"/>
      <c r="H161" s="13"/>
      <c r="I161" s="13"/>
      <c r="J161" s="13"/>
      <c r="K161" s="29"/>
      <c r="L161" s="29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4"/>
      <c r="AJ161" s="24"/>
    </row>
    <row r="162" ht="15.75" customHeight="1">
      <c r="A162" s="29"/>
      <c r="B162" s="14"/>
      <c r="C162" s="14"/>
      <c r="D162" s="14"/>
      <c r="E162" s="14"/>
      <c r="F162" s="14"/>
      <c r="G162" s="13"/>
      <c r="H162" s="13"/>
      <c r="I162" s="13"/>
      <c r="J162" s="13"/>
      <c r="K162" s="29"/>
      <c r="L162" s="29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4"/>
      <c r="AJ162" s="24"/>
    </row>
    <row r="163" ht="15.75" customHeight="1">
      <c r="A163" s="29"/>
      <c r="B163" s="14"/>
      <c r="C163" s="14"/>
      <c r="D163" s="14"/>
      <c r="E163" s="14"/>
      <c r="F163" s="14"/>
      <c r="G163" s="13"/>
      <c r="H163" s="13"/>
      <c r="I163" s="13"/>
      <c r="J163" s="13"/>
      <c r="K163" s="29"/>
      <c r="L163" s="29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4"/>
      <c r="AJ163" s="24"/>
    </row>
    <row r="164" ht="15.75" customHeight="1">
      <c r="A164" s="29"/>
      <c r="B164" s="14"/>
      <c r="C164" s="14"/>
      <c r="D164" s="14"/>
      <c r="E164" s="14"/>
      <c r="F164" s="14"/>
      <c r="G164" s="13"/>
      <c r="H164" s="13"/>
      <c r="I164" s="13"/>
      <c r="J164" s="13"/>
      <c r="K164" s="29"/>
      <c r="L164" s="29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4"/>
      <c r="AJ164" s="24"/>
    </row>
    <row r="165" ht="15.75" customHeight="1">
      <c r="A165" s="29"/>
      <c r="B165" s="14"/>
      <c r="C165" s="14"/>
      <c r="D165" s="14"/>
      <c r="E165" s="14"/>
      <c r="F165" s="14"/>
      <c r="G165" s="13"/>
      <c r="H165" s="13"/>
      <c r="I165" s="13"/>
      <c r="J165" s="13"/>
      <c r="K165" s="29"/>
      <c r="L165" s="29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4"/>
      <c r="AJ165" s="24"/>
    </row>
    <row r="166" ht="15.75" customHeight="1">
      <c r="A166" s="29"/>
      <c r="B166" s="14"/>
      <c r="C166" s="14"/>
      <c r="D166" s="14"/>
      <c r="E166" s="14"/>
      <c r="F166" s="14"/>
      <c r="G166" s="13"/>
      <c r="H166" s="13"/>
      <c r="I166" s="13"/>
      <c r="J166" s="13"/>
      <c r="K166" s="29"/>
      <c r="L166" s="29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4"/>
      <c r="AJ166" s="24"/>
    </row>
    <row r="167" ht="15.75" customHeight="1">
      <c r="A167" s="29"/>
      <c r="B167" s="14"/>
      <c r="C167" s="14"/>
      <c r="D167" s="14"/>
      <c r="E167" s="14"/>
      <c r="F167" s="14"/>
      <c r="G167" s="13"/>
      <c r="H167" s="13"/>
      <c r="I167" s="13"/>
      <c r="J167" s="13"/>
      <c r="K167" s="29"/>
      <c r="L167" s="29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4"/>
      <c r="AJ167" s="24"/>
    </row>
    <row r="168" ht="15.75" customHeight="1">
      <c r="A168" s="29"/>
      <c r="B168" s="14"/>
      <c r="C168" s="14"/>
      <c r="D168" s="14"/>
      <c r="E168" s="14"/>
      <c r="F168" s="14"/>
      <c r="G168" s="13"/>
      <c r="H168" s="13"/>
      <c r="I168" s="13"/>
      <c r="J168" s="13"/>
      <c r="K168" s="29"/>
      <c r="L168" s="29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4"/>
      <c r="AJ168" s="24"/>
    </row>
    <row r="169" ht="15.75" customHeight="1">
      <c r="A169" s="29"/>
      <c r="B169" s="14"/>
      <c r="C169" s="14"/>
      <c r="D169" s="14"/>
      <c r="E169" s="14"/>
      <c r="F169" s="14"/>
      <c r="G169" s="13"/>
      <c r="H169" s="13"/>
      <c r="I169" s="13"/>
      <c r="J169" s="13"/>
      <c r="K169" s="29"/>
      <c r="L169" s="29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4"/>
      <c r="AJ169" s="24"/>
    </row>
    <row r="170" ht="15.75" customHeight="1">
      <c r="A170" s="29"/>
      <c r="B170" s="14"/>
      <c r="C170" s="14"/>
      <c r="D170" s="14"/>
      <c r="E170" s="14"/>
      <c r="F170" s="14"/>
      <c r="G170" s="13"/>
      <c r="H170" s="13"/>
      <c r="I170" s="13"/>
      <c r="J170" s="13"/>
      <c r="K170" s="29"/>
      <c r="L170" s="29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4"/>
      <c r="AJ170" s="24"/>
    </row>
    <row r="171" ht="15.75" customHeight="1">
      <c r="A171" s="29"/>
      <c r="B171" s="14"/>
      <c r="C171" s="14"/>
      <c r="D171" s="14"/>
      <c r="E171" s="14"/>
      <c r="F171" s="14"/>
      <c r="G171" s="13"/>
      <c r="H171" s="13"/>
      <c r="I171" s="13"/>
      <c r="J171" s="13"/>
      <c r="K171" s="29"/>
      <c r="L171" s="29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4"/>
      <c r="AJ171" s="24"/>
    </row>
    <row r="172" ht="15.75" customHeight="1">
      <c r="A172" s="29"/>
      <c r="B172" s="14"/>
      <c r="C172" s="14"/>
      <c r="D172" s="14"/>
      <c r="E172" s="14"/>
      <c r="F172" s="14"/>
      <c r="G172" s="13"/>
      <c r="H172" s="13"/>
      <c r="I172" s="13"/>
      <c r="J172" s="13"/>
      <c r="K172" s="29"/>
      <c r="L172" s="29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4"/>
      <c r="AJ172" s="24"/>
    </row>
    <row r="173" ht="15.75" customHeight="1">
      <c r="A173" s="29"/>
      <c r="B173" s="14"/>
      <c r="C173" s="14"/>
      <c r="D173" s="14"/>
      <c r="E173" s="14"/>
      <c r="F173" s="14"/>
      <c r="G173" s="13"/>
      <c r="H173" s="13"/>
      <c r="I173" s="13"/>
      <c r="J173" s="13"/>
      <c r="K173" s="29"/>
      <c r="L173" s="29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4"/>
      <c r="AJ173" s="24"/>
    </row>
    <row r="174" ht="15.75" customHeight="1">
      <c r="A174" s="29"/>
      <c r="B174" s="14"/>
      <c r="C174" s="14"/>
      <c r="D174" s="14"/>
      <c r="E174" s="14"/>
      <c r="F174" s="14"/>
      <c r="G174" s="13"/>
      <c r="H174" s="13"/>
      <c r="I174" s="13"/>
      <c r="J174" s="13"/>
      <c r="K174" s="29"/>
      <c r="L174" s="29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4"/>
      <c r="AJ174" s="24"/>
    </row>
    <row r="175" ht="15.75" customHeight="1">
      <c r="A175" s="29"/>
      <c r="B175" s="14"/>
      <c r="C175" s="14"/>
      <c r="D175" s="14"/>
      <c r="E175" s="14"/>
      <c r="F175" s="14"/>
      <c r="G175" s="13"/>
      <c r="H175" s="13"/>
      <c r="I175" s="13"/>
      <c r="J175" s="13"/>
      <c r="K175" s="29"/>
      <c r="L175" s="29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4"/>
      <c r="AJ175" s="24"/>
    </row>
    <row r="176" ht="15.75" customHeight="1">
      <c r="A176" s="29"/>
      <c r="B176" s="14"/>
      <c r="C176" s="14"/>
      <c r="D176" s="14"/>
      <c r="E176" s="14"/>
      <c r="F176" s="14"/>
      <c r="G176" s="13"/>
      <c r="H176" s="13"/>
      <c r="I176" s="13"/>
      <c r="J176" s="13"/>
      <c r="K176" s="29"/>
      <c r="L176" s="29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4"/>
      <c r="AJ176" s="24"/>
    </row>
    <row r="177" ht="15.75" customHeight="1">
      <c r="A177" s="29"/>
      <c r="B177" s="14"/>
      <c r="C177" s="14"/>
      <c r="D177" s="14"/>
      <c r="E177" s="14"/>
      <c r="F177" s="14"/>
      <c r="G177" s="13"/>
      <c r="H177" s="13"/>
      <c r="I177" s="13"/>
      <c r="J177" s="13"/>
      <c r="K177" s="29"/>
      <c r="L177" s="29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4"/>
      <c r="AJ177" s="24"/>
    </row>
    <row r="178" ht="15.75" customHeight="1">
      <c r="A178" s="29"/>
      <c r="B178" s="14"/>
      <c r="C178" s="14"/>
      <c r="D178" s="14"/>
      <c r="E178" s="14"/>
      <c r="F178" s="14"/>
      <c r="G178" s="13"/>
      <c r="H178" s="13"/>
      <c r="I178" s="13"/>
      <c r="J178" s="13"/>
      <c r="K178" s="29"/>
      <c r="L178" s="29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4"/>
      <c r="AJ178" s="24"/>
    </row>
    <row r="179" ht="15.75" customHeight="1">
      <c r="A179" s="29"/>
      <c r="B179" s="14"/>
      <c r="C179" s="14"/>
      <c r="D179" s="14"/>
      <c r="E179" s="14"/>
      <c r="F179" s="14"/>
      <c r="G179" s="13"/>
      <c r="H179" s="13"/>
      <c r="I179" s="13"/>
      <c r="J179" s="13"/>
      <c r="K179" s="29"/>
      <c r="L179" s="29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4"/>
      <c r="AJ179" s="24"/>
    </row>
    <row r="180" ht="15.75" customHeight="1">
      <c r="A180" s="29"/>
      <c r="B180" s="14"/>
      <c r="C180" s="14"/>
      <c r="D180" s="14"/>
      <c r="E180" s="14"/>
      <c r="F180" s="14"/>
      <c r="G180" s="13"/>
      <c r="H180" s="13"/>
      <c r="I180" s="13"/>
      <c r="J180" s="13"/>
      <c r="K180" s="29"/>
      <c r="L180" s="29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4"/>
      <c r="AJ180" s="24"/>
    </row>
    <row r="181" ht="15.75" customHeight="1">
      <c r="A181" s="29"/>
      <c r="B181" s="14"/>
      <c r="C181" s="14"/>
      <c r="D181" s="14"/>
      <c r="E181" s="14"/>
      <c r="F181" s="14"/>
      <c r="G181" s="13"/>
      <c r="H181" s="13"/>
      <c r="I181" s="13"/>
      <c r="J181" s="13"/>
      <c r="K181" s="29"/>
      <c r="L181" s="29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4"/>
      <c r="AJ181" s="24"/>
    </row>
    <row r="182" ht="15.75" customHeight="1">
      <c r="A182" s="29"/>
      <c r="B182" s="14"/>
      <c r="C182" s="14"/>
      <c r="D182" s="14"/>
      <c r="E182" s="14"/>
      <c r="F182" s="14"/>
      <c r="G182" s="13"/>
      <c r="H182" s="13"/>
      <c r="I182" s="13"/>
      <c r="J182" s="13"/>
      <c r="K182" s="29"/>
      <c r="L182" s="29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4"/>
      <c r="AJ182" s="24"/>
    </row>
    <row r="183" ht="15.75" customHeight="1">
      <c r="A183" s="29"/>
      <c r="B183" s="14"/>
      <c r="C183" s="14"/>
      <c r="D183" s="14"/>
      <c r="E183" s="14"/>
      <c r="F183" s="14"/>
      <c r="G183" s="13"/>
      <c r="H183" s="13"/>
      <c r="I183" s="13"/>
      <c r="J183" s="13"/>
      <c r="K183" s="29"/>
      <c r="L183" s="29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4"/>
      <c r="AJ183" s="24"/>
    </row>
    <row r="184" ht="15.75" customHeight="1">
      <c r="A184" s="29"/>
      <c r="B184" s="14"/>
      <c r="C184" s="14"/>
      <c r="D184" s="14"/>
      <c r="E184" s="14"/>
      <c r="F184" s="14"/>
      <c r="G184" s="13"/>
      <c r="H184" s="13"/>
      <c r="I184" s="13"/>
      <c r="J184" s="13"/>
      <c r="K184" s="29"/>
      <c r="L184" s="29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4"/>
      <c r="AJ184" s="24"/>
    </row>
    <row r="185" ht="15.75" customHeight="1">
      <c r="A185" s="29"/>
      <c r="B185" s="14"/>
      <c r="C185" s="14"/>
      <c r="D185" s="14"/>
      <c r="E185" s="14"/>
      <c r="F185" s="14"/>
      <c r="G185" s="13"/>
      <c r="H185" s="13"/>
      <c r="I185" s="13"/>
      <c r="J185" s="13"/>
      <c r="K185" s="29"/>
      <c r="L185" s="29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4"/>
      <c r="AJ185" s="24"/>
    </row>
    <row r="186" ht="15.75" customHeight="1">
      <c r="A186" s="29"/>
      <c r="B186" s="14"/>
      <c r="C186" s="14"/>
      <c r="D186" s="14"/>
      <c r="E186" s="14"/>
      <c r="F186" s="14"/>
      <c r="G186" s="13"/>
      <c r="H186" s="13"/>
      <c r="I186" s="13"/>
      <c r="J186" s="13"/>
      <c r="K186" s="29"/>
      <c r="L186" s="29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4"/>
      <c r="AJ186" s="24"/>
    </row>
    <row r="187" ht="15.75" customHeight="1">
      <c r="A187" s="29"/>
      <c r="B187" s="14"/>
      <c r="C187" s="14"/>
      <c r="D187" s="14"/>
      <c r="E187" s="14"/>
      <c r="F187" s="14"/>
      <c r="G187" s="13"/>
      <c r="H187" s="13"/>
      <c r="I187" s="13"/>
      <c r="J187" s="13"/>
      <c r="K187" s="29"/>
      <c r="L187" s="29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4"/>
      <c r="AJ187" s="24"/>
    </row>
    <row r="188" ht="15.75" customHeight="1">
      <c r="A188" s="29"/>
      <c r="B188" s="14"/>
      <c r="C188" s="14"/>
      <c r="D188" s="14"/>
      <c r="E188" s="14"/>
      <c r="F188" s="14"/>
      <c r="G188" s="13"/>
      <c r="H188" s="13"/>
      <c r="I188" s="13"/>
      <c r="J188" s="13"/>
      <c r="K188" s="29"/>
      <c r="L188" s="29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4"/>
      <c r="AJ188" s="24"/>
    </row>
    <row r="189" ht="15.75" customHeight="1">
      <c r="A189" s="29"/>
      <c r="B189" s="14"/>
      <c r="C189" s="14"/>
      <c r="D189" s="14"/>
      <c r="E189" s="14"/>
      <c r="F189" s="14"/>
      <c r="G189" s="13"/>
      <c r="H189" s="13"/>
      <c r="I189" s="13"/>
      <c r="J189" s="13"/>
      <c r="K189" s="29"/>
      <c r="L189" s="29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4"/>
      <c r="AJ189" s="24"/>
    </row>
    <row r="190" ht="15.75" customHeight="1">
      <c r="A190" s="29"/>
      <c r="B190" s="14"/>
      <c r="C190" s="14"/>
      <c r="D190" s="14"/>
      <c r="E190" s="14"/>
      <c r="F190" s="14"/>
      <c r="G190" s="13"/>
      <c r="H190" s="13"/>
      <c r="I190" s="13"/>
      <c r="J190" s="13"/>
      <c r="K190" s="29"/>
      <c r="L190" s="29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4"/>
      <c r="AJ190" s="24"/>
    </row>
    <row r="191" ht="15.75" customHeight="1">
      <c r="A191" s="29"/>
      <c r="B191" s="14"/>
      <c r="C191" s="14"/>
      <c r="D191" s="14"/>
      <c r="E191" s="14"/>
      <c r="F191" s="14"/>
      <c r="G191" s="13"/>
      <c r="H191" s="13"/>
      <c r="I191" s="13"/>
      <c r="J191" s="13"/>
      <c r="K191" s="29"/>
      <c r="L191" s="29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4"/>
      <c r="AJ191" s="24"/>
    </row>
    <row r="192" ht="15.75" customHeight="1">
      <c r="A192" s="29"/>
      <c r="B192" s="14"/>
      <c r="C192" s="14"/>
      <c r="D192" s="14"/>
      <c r="E192" s="14"/>
      <c r="F192" s="14"/>
      <c r="G192" s="13"/>
      <c r="H192" s="13"/>
      <c r="I192" s="13"/>
      <c r="J192" s="13"/>
      <c r="K192" s="29"/>
      <c r="L192" s="29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4"/>
      <c r="AJ192" s="24"/>
    </row>
    <row r="193" ht="15.75" customHeight="1">
      <c r="A193" s="29"/>
      <c r="B193" s="14"/>
      <c r="C193" s="14"/>
      <c r="D193" s="14"/>
      <c r="E193" s="14"/>
      <c r="F193" s="14"/>
      <c r="G193" s="13"/>
      <c r="H193" s="13"/>
      <c r="I193" s="13"/>
      <c r="J193" s="13"/>
      <c r="K193" s="29"/>
      <c r="L193" s="29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4"/>
      <c r="AJ193" s="24"/>
    </row>
    <row r="194" ht="15.75" customHeight="1">
      <c r="A194" s="29"/>
      <c r="B194" s="14"/>
      <c r="C194" s="14"/>
      <c r="D194" s="14"/>
      <c r="E194" s="14"/>
      <c r="F194" s="14"/>
      <c r="G194" s="13"/>
      <c r="H194" s="13"/>
      <c r="I194" s="13"/>
      <c r="J194" s="13"/>
      <c r="K194" s="29"/>
      <c r="L194" s="29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4"/>
      <c r="AJ194" s="24"/>
    </row>
    <row r="195" ht="15.75" customHeight="1">
      <c r="A195" s="29"/>
      <c r="B195" s="14"/>
      <c r="C195" s="14"/>
      <c r="D195" s="14"/>
      <c r="E195" s="14"/>
      <c r="F195" s="14"/>
      <c r="G195" s="13"/>
      <c r="H195" s="13"/>
      <c r="I195" s="13"/>
      <c r="J195" s="13"/>
      <c r="K195" s="29"/>
      <c r="L195" s="29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4"/>
      <c r="AJ195" s="24"/>
    </row>
    <row r="196" ht="15.75" customHeight="1">
      <c r="A196" s="29"/>
      <c r="B196" s="14"/>
      <c r="C196" s="14"/>
      <c r="D196" s="14"/>
      <c r="E196" s="14"/>
      <c r="F196" s="14"/>
      <c r="G196" s="13"/>
      <c r="H196" s="13"/>
      <c r="I196" s="13"/>
      <c r="J196" s="13"/>
      <c r="K196" s="29"/>
      <c r="L196" s="29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4"/>
      <c r="AJ196" s="24"/>
    </row>
    <row r="197" ht="15.75" customHeight="1">
      <c r="A197" s="29"/>
      <c r="B197" s="14"/>
      <c r="C197" s="14"/>
      <c r="D197" s="14"/>
      <c r="E197" s="14"/>
      <c r="F197" s="14"/>
      <c r="G197" s="13"/>
      <c r="H197" s="13"/>
      <c r="I197" s="13"/>
      <c r="J197" s="13"/>
      <c r="K197" s="29"/>
      <c r="L197" s="29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4"/>
      <c r="AJ197" s="24"/>
    </row>
    <row r="198" ht="15.75" customHeight="1">
      <c r="A198" s="29"/>
      <c r="B198" s="14"/>
      <c r="C198" s="14"/>
      <c r="D198" s="14"/>
      <c r="E198" s="14"/>
      <c r="F198" s="14"/>
      <c r="G198" s="13"/>
      <c r="H198" s="13"/>
      <c r="I198" s="13"/>
      <c r="J198" s="13"/>
      <c r="K198" s="29"/>
      <c r="L198" s="29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4"/>
      <c r="AJ198" s="24"/>
    </row>
    <row r="199" ht="15.75" customHeight="1">
      <c r="A199" s="29"/>
      <c r="B199" s="14"/>
      <c r="C199" s="14"/>
      <c r="D199" s="14"/>
      <c r="E199" s="14"/>
      <c r="F199" s="14"/>
      <c r="G199" s="13"/>
      <c r="H199" s="13"/>
      <c r="I199" s="13"/>
      <c r="J199" s="13"/>
      <c r="K199" s="29"/>
      <c r="L199" s="29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4"/>
      <c r="AJ199" s="24"/>
    </row>
    <row r="200" ht="15.75" customHeight="1">
      <c r="A200" s="29"/>
      <c r="B200" s="14"/>
      <c r="C200" s="14"/>
      <c r="D200" s="14"/>
      <c r="E200" s="14"/>
      <c r="F200" s="14"/>
      <c r="G200" s="13"/>
      <c r="H200" s="13"/>
      <c r="I200" s="13"/>
      <c r="J200" s="13"/>
      <c r="K200" s="29"/>
      <c r="L200" s="29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4"/>
      <c r="AJ200" s="24"/>
    </row>
    <row r="201" ht="15.75" customHeight="1">
      <c r="A201" s="29"/>
      <c r="B201" s="14"/>
      <c r="C201" s="14"/>
      <c r="D201" s="14"/>
      <c r="E201" s="14"/>
      <c r="F201" s="14"/>
      <c r="G201" s="13"/>
      <c r="H201" s="13"/>
      <c r="I201" s="13"/>
      <c r="J201" s="13"/>
      <c r="K201" s="29"/>
      <c r="L201" s="29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4"/>
      <c r="AJ201" s="24"/>
    </row>
    <row r="202" ht="15.75" customHeight="1">
      <c r="A202" s="29"/>
      <c r="B202" s="14"/>
      <c r="C202" s="14"/>
      <c r="D202" s="14"/>
      <c r="E202" s="14"/>
      <c r="F202" s="14"/>
      <c r="G202" s="13"/>
      <c r="H202" s="13"/>
      <c r="I202" s="13"/>
      <c r="J202" s="13"/>
      <c r="K202" s="29"/>
      <c r="L202" s="29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4"/>
      <c r="AJ202" s="24"/>
    </row>
    <row r="203" ht="15.75" customHeight="1">
      <c r="A203" s="29"/>
      <c r="B203" s="14"/>
      <c r="C203" s="14"/>
      <c r="D203" s="14"/>
      <c r="E203" s="14"/>
      <c r="F203" s="14"/>
      <c r="G203" s="13"/>
      <c r="H203" s="13"/>
      <c r="I203" s="13"/>
      <c r="J203" s="13"/>
      <c r="K203" s="29"/>
      <c r="L203" s="29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4"/>
      <c r="AJ203" s="24"/>
    </row>
    <row r="204" ht="15.75" customHeight="1">
      <c r="A204" s="29"/>
      <c r="B204" s="14"/>
      <c r="C204" s="14"/>
      <c r="D204" s="14"/>
      <c r="E204" s="14"/>
      <c r="F204" s="14"/>
      <c r="G204" s="13"/>
      <c r="H204" s="13"/>
      <c r="I204" s="13"/>
      <c r="J204" s="13"/>
      <c r="K204" s="29"/>
      <c r="L204" s="29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4"/>
      <c r="AJ204" s="24"/>
    </row>
    <row r="205" ht="15.75" customHeight="1">
      <c r="A205" s="29"/>
      <c r="B205" s="14"/>
      <c r="C205" s="14"/>
      <c r="D205" s="14"/>
      <c r="E205" s="14"/>
      <c r="F205" s="14"/>
      <c r="G205" s="13"/>
      <c r="H205" s="13"/>
      <c r="I205" s="13"/>
      <c r="J205" s="13"/>
      <c r="K205" s="29"/>
      <c r="L205" s="29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4"/>
      <c r="AJ205" s="24"/>
    </row>
    <row r="206" ht="15.75" customHeight="1">
      <c r="A206" s="29"/>
      <c r="B206" s="14"/>
      <c r="C206" s="14"/>
      <c r="D206" s="14"/>
      <c r="E206" s="14"/>
      <c r="F206" s="14"/>
      <c r="G206" s="13"/>
      <c r="H206" s="13"/>
      <c r="I206" s="13"/>
      <c r="J206" s="13"/>
      <c r="K206" s="29"/>
      <c r="L206" s="29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4"/>
      <c r="AJ206" s="24"/>
    </row>
    <row r="207" ht="15.75" customHeight="1">
      <c r="A207" s="29"/>
      <c r="B207" s="14"/>
      <c r="C207" s="14"/>
      <c r="D207" s="14"/>
      <c r="E207" s="14"/>
      <c r="F207" s="14"/>
      <c r="G207" s="13"/>
      <c r="H207" s="13"/>
      <c r="I207" s="13"/>
      <c r="J207" s="13"/>
      <c r="K207" s="29"/>
      <c r="L207" s="29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4"/>
      <c r="AJ207" s="24"/>
    </row>
    <row r="208" ht="15.75" customHeight="1">
      <c r="A208" s="29"/>
      <c r="B208" s="14"/>
      <c r="C208" s="14"/>
      <c r="D208" s="14"/>
      <c r="E208" s="14"/>
      <c r="F208" s="14"/>
      <c r="G208" s="13"/>
      <c r="H208" s="13"/>
      <c r="I208" s="13"/>
      <c r="J208" s="13"/>
      <c r="K208" s="29"/>
      <c r="L208" s="29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4"/>
      <c r="AJ208" s="24"/>
    </row>
    <row r="209" ht="15.75" customHeight="1">
      <c r="A209" s="29"/>
      <c r="B209" s="14"/>
      <c r="C209" s="14"/>
      <c r="D209" s="14"/>
      <c r="E209" s="14"/>
      <c r="F209" s="14"/>
      <c r="G209" s="13"/>
      <c r="H209" s="13"/>
      <c r="I209" s="13"/>
      <c r="J209" s="13"/>
      <c r="K209" s="29"/>
      <c r="L209" s="29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4"/>
      <c r="AJ209" s="24"/>
    </row>
    <row r="210" ht="15.75" customHeight="1">
      <c r="A210" s="29"/>
      <c r="B210" s="14"/>
      <c r="C210" s="14"/>
      <c r="D210" s="14"/>
      <c r="E210" s="14"/>
      <c r="F210" s="14"/>
      <c r="G210" s="13"/>
      <c r="H210" s="13"/>
      <c r="I210" s="13"/>
      <c r="J210" s="13"/>
      <c r="K210" s="29"/>
      <c r="L210" s="29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4"/>
      <c r="AJ210" s="24"/>
    </row>
    <row r="211" ht="15.75" customHeight="1">
      <c r="A211" s="29"/>
      <c r="B211" s="14"/>
      <c r="C211" s="14"/>
      <c r="D211" s="14"/>
      <c r="E211" s="14"/>
      <c r="F211" s="14"/>
      <c r="G211" s="13"/>
      <c r="H211" s="13"/>
      <c r="I211" s="13"/>
      <c r="J211" s="13"/>
      <c r="K211" s="29"/>
      <c r="L211" s="29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4"/>
      <c r="AJ211" s="24"/>
    </row>
    <row r="212" ht="15.75" customHeight="1">
      <c r="A212" s="29"/>
      <c r="B212" s="14"/>
      <c r="C212" s="14"/>
      <c r="D212" s="14"/>
      <c r="E212" s="14"/>
      <c r="F212" s="14"/>
      <c r="G212" s="13"/>
      <c r="H212" s="13"/>
      <c r="I212" s="13"/>
      <c r="J212" s="13"/>
      <c r="K212" s="29"/>
      <c r="L212" s="29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4"/>
      <c r="AJ212" s="24"/>
    </row>
    <row r="213" ht="15.75" customHeight="1">
      <c r="A213" s="29"/>
      <c r="B213" s="14"/>
      <c r="C213" s="14"/>
      <c r="D213" s="14"/>
      <c r="E213" s="14"/>
      <c r="F213" s="14"/>
      <c r="G213" s="13"/>
      <c r="H213" s="13"/>
      <c r="I213" s="13"/>
      <c r="J213" s="13"/>
      <c r="K213" s="29"/>
      <c r="L213" s="29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4"/>
      <c r="AJ213" s="24"/>
    </row>
    <row r="214" ht="15.75" customHeight="1">
      <c r="A214" s="29"/>
      <c r="B214" s="14"/>
      <c r="C214" s="14"/>
      <c r="D214" s="14"/>
      <c r="E214" s="14"/>
      <c r="F214" s="14"/>
      <c r="G214" s="13"/>
      <c r="H214" s="13"/>
      <c r="I214" s="13"/>
      <c r="J214" s="13"/>
      <c r="K214" s="29"/>
      <c r="L214" s="29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4"/>
      <c r="AJ214" s="24"/>
    </row>
    <row r="215" ht="15.75" customHeight="1">
      <c r="A215" s="29"/>
      <c r="B215" s="14"/>
      <c r="C215" s="14"/>
      <c r="D215" s="14"/>
      <c r="E215" s="14"/>
      <c r="F215" s="14"/>
      <c r="G215" s="13"/>
      <c r="H215" s="13"/>
      <c r="I215" s="13"/>
      <c r="J215" s="13"/>
      <c r="K215" s="29"/>
      <c r="L215" s="29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4"/>
      <c r="AJ215" s="24"/>
    </row>
    <row r="216" ht="15.75" customHeight="1">
      <c r="A216" s="29"/>
      <c r="B216" s="14"/>
      <c r="C216" s="14"/>
      <c r="D216" s="14"/>
      <c r="E216" s="14"/>
      <c r="F216" s="14"/>
      <c r="G216" s="13"/>
      <c r="H216" s="13"/>
      <c r="I216" s="13"/>
      <c r="J216" s="13"/>
      <c r="K216" s="29"/>
      <c r="L216" s="29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4"/>
      <c r="AJ216" s="24"/>
    </row>
    <row r="217" ht="15.75" customHeight="1">
      <c r="A217" s="29"/>
      <c r="B217" s="14"/>
      <c r="C217" s="14"/>
      <c r="D217" s="14"/>
      <c r="E217" s="14"/>
      <c r="F217" s="14"/>
      <c r="G217" s="13"/>
      <c r="H217" s="13"/>
      <c r="I217" s="13"/>
      <c r="J217" s="13"/>
      <c r="K217" s="29"/>
      <c r="L217" s="29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4"/>
      <c r="AJ217" s="24"/>
    </row>
    <row r="218" ht="15.75" customHeight="1">
      <c r="A218" s="29"/>
      <c r="B218" s="14"/>
      <c r="C218" s="14"/>
      <c r="D218" s="14"/>
      <c r="E218" s="14"/>
      <c r="F218" s="14"/>
      <c r="G218" s="13"/>
      <c r="H218" s="13"/>
      <c r="I218" s="13"/>
      <c r="J218" s="13"/>
      <c r="K218" s="29"/>
      <c r="L218" s="29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4"/>
      <c r="AJ218" s="24"/>
    </row>
    <row r="219" ht="15.75" customHeight="1">
      <c r="A219" s="29"/>
      <c r="B219" s="14"/>
      <c r="C219" s="14"/>
      <c r="D219" s="14"/>
      <c r="E219" s="14"/>
      <c r="F219" s="14"/>
      <c r="G219" s="13"/>
      <c r="H219" s="13"/>
      <c r="I219" s="13"/>
      <c r="J219" s="13"/>
      <c r="K219" s="29"/>
      <c r="L219" s="29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4"/>
      <c r="AJ219" s="24"/>
    </row>
    <row r="220" ht="15.75" customHeight="1">
      <c r="A220" s="29"/>
      <c r="B220" s="14"/>
      <c r="C220" s="14"/>
      <c r="D220" s="14"/>
      <c r="E220" s="14"/>
      <c r="F220" s="14"/>
      <c r="G220" s="13"/>
      <c r="H220" s="13"/>
      <c r="I220" s="13"/>
      <c r="J220" s="13"/>
      <c r="K220" s="29"/>
      <c r="L220" s="29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4"/>
      <c r="AJ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6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10.63"/>
    <col customWidth="1" min="14" max="15" width="14.13"/>
    <col customWidth="1" min="16" max="16" width="13.75"/>
    <col customWidth="1" min="17" max="17" width="5.88"/>
    <col customWidth="1" min="18" max="36" width="12.63"/>
  </cols>
  <sheetData>
    <row r="1">
      <c r="A1" s="1" t="s">
        <v>548</v>
      </c>
      <c r="B1" s="2" t="s">
        <v>549</v>
      </c>
      <c r="C1" s="2" t="s">
        <v>550</v>
      </c>
      <c r="D1" s="2" t="s">
        <v>551</v>
      </c>
      <c r="E1" s="2" t="s">
        <v>552</v>
      </c>
      <c r="F1" s="2" t="s">
        <v>553</v>
      </c>
      <c r="G1" s="29" t="s">
        <v>192</v>
      </c>
      <c r="H1" s="1" t="s">
        <v>554</v>
      </c>
      <c r="I1" s="1" t="s">
        <v>555</v>
      </c>
      <c r="J1" s="1" t="s">
        <v>556</v>
      </c>
      <c r="K1" s="29" t="s">
        <v>557</v>
      </c>
      <c r="L1" s="29" t="s">
        <v>558</v>
      </c>
      <c r="M1" s="29" t="s">
        <v>564</v>
      </c>
      <c r="N1" s="29" t="s">
        <v>565</v>
      </c>
      <c r="O1" s="29" t="s">
        <v>566</v>
      </c>
      <c r="P1" s="29" t="s">
        <v>567</v>
      </c>
      <c r="Q1" s="29" t="s">
        <v>568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2">
      <c r="A2" s="29" t="s">
        <v>569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9"/>
      <c r="L2" s="29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>
        <f>README!$F$2</f>
        <v>-1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29" t="s">
        <v>570</v>
      </c>
      <c r="B3" s="14">
        <v>1.0</v>
      </c>
      <c r="C3" s="14">
        <v>0.0</v>
      </c>
      <c r="D3" s="14">
        <v>0.0</v>
      </c>
      <c r="E3" s="14">
        <v>0.0</v>
      </c>
      <c r="F3" s="14">
        <v>0.0</v>
      </c>
      <c r="G3" s="13">
        <v>0.0</v>
      </c>
      <c r="H3" s="13">
        <v>0.0</v>
      </c>
      <c r="I3" s="13">
        <v>0.0</v>
      </c>
      <c r="J3" s="13">
        <v>0.0</v>
      </c>
      <c r="K3" s="29"/>
      <c r="L3" s="29"/>
      <c r="M3" s="13">
        <f>IF($A3="", -1, ($B3*README!$B$2)+($C3*README!$B$3)+($D3*README!$B$4)+($E3*README!$B$5)+($F3*README!$B$6))</f>
        <v>100000000</v>
      </c>
      <c r="N3" s="13">
        <f>IF($A3="", -1, ($B3*README!$B$2)+($C3*README!$B$3)+($D3*README!$B$4)+($E3*README!$B$5)+($F3*README!$B$6)-1)</f>
        <v>99999999</v>
      </c>
      <c r="O3" s="13">
        <f>IF($A3="", -1, ($B3*README!$B$2)+($C3*README!$B$3)+($D3*README!$B$4)+($E3*README!$B$5)+($F3*README!$B$6)+1)</f>
        <v>100000001</v>
      </c>
      <c r="P3" s="13">
        <f>README!$F$2</f>
        <v>-1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B4" s="39"/>
      <c r="C4" s="39"/>
      <c r="D4" s="39"/>
      <c r="E4" s="39"/>
      <c r="F4" s="39"/>
    </row>
    <row r="5">
      <c r="A5" s="29"/>
      <c r="B5" s="14"/>
      <c r="C5" s="14"/>
      <c r="D5" s="14"/>
      <c r="E5" s="14"/>
      <c r="F5" s="14"/>
      <c r="G5" s="13"/>
      <c r="H5" s="13"/>
      <c r="I5" s="13"/>
      <c r="J5" s="13"/>
      <c r="K5" s="29"/>
      <c r="L5" s="29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29"/>
      <c r="B6" s="14"/>
      <c r="C6" s="14"/>
      <c r="D6" s="14"/>
      <c r="E6" s="14"/>
      <c r="F6" s="14"/>
      <c r="G6" s="13"/>
      <c r="H6" s="13"/>
      <c r="I6" s="13"/>
      <c r="J6" s="13"/>
      <c r="K6" s="29"/>
      <c r="L6" s="29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29"/>
      <c r="B7" s="14"/>
      <c r="C7" s="14"/>
      <c r="D7" s="14"/>
      <c r="E7" s="14"/>
      <c r="F7" s="14"/>
      <c r="G7" s="13"/>
      <c r="H7" s="13"/>
      <c r="I7" s="13"/>
      <c r="J7" s="13"/>
      <c r="K7" s="29"/>
      <c r="L7" s="29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29"/>
      <c r="B8" s="14"/>
      <c r="C8" s="14"/>
      <c r="D8" s="14"/>
      <c r="E8" s="14"/>
      <c r="F8" s="14"/>
      <c r="G8" s="13"/>
      <c r="H8" s="13"/>
      <c r="I8" s="13"/>
      <c r="J8" s="13"/>
      <c r="K8" s="29"/>
      <c r="L8" s="29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29"/>
      <c r="B9" s="14"/>
      <c r="C9" s="14"/>
      <c r="D9" s="14"/>
      <c r="E9" s="14"/>
      <c r="F9" s="14"/>
      <c r="G9" s="13"/>
      <c r="H9" s="13"/>
      <c r="I9" s="13"/>
      <c r="J9" s="13"/>
      <c r="K9" s="29"/>
      <c r="L9" s="29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29"/>
      <c r="B10" s="14"/>
      <c r="C10" s="14"/>
      <c r="D10" s="14"/>
      <c r="E10" s="14"/>
      <c r="F10" s="14"/>
      <c r="G10" s="13"/>
      <c r="H10" s="13"/>
      <c r="I10" s="13"/>
      <c r="J10" s="13"/>
      <c r="K10" s="29"/>
      <c r="L10" s="29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29"/>
      <c r="B11" s="14"/>
      <c r="C11" s="14"/>
      <c r="D11" s="14"/>
      <c r="E11" s="14"/>
      <c r="F11" s="14"/>
      <c r="G11" s="13"/>
      <c r="H11" s="13"/>
      <c r="I11" s="13"/>
      <c r="J11" s="13"/>
      <c r="K11" s="29"/>
      <c r="L11" s="2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29"/>
      <c r="B12" s="14"/>
      <c r="C12" s="14"/>
      <c r="D12" s="14"/>
      <c r="E12" s="14"/>
      <c r="F12" s="14"/>
      <c r="G12" s="13"/>
      <c r="H12" s="13"/>
      <c r="I12" s="13"/>
      <c r="J12" s="13"/>
      <c r="K12" s="29"/>
      <c r="L12" s="29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29"/>
      <c r="B13" s="14"/>
      <c r="C13" s="14"/>
      <c r="D13" s="14"/>
      <c r="E13" s="14"/>
      <c r="F13" s="14"/>
      <c r="G13" s="13"/>
      <c r="H13" s="13"/>
      <c r="I13" s="13"/>
      <c r="J13" s="13"/>
      <c r="K13" s="29"/>
      <c r="L13" s="29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29"/>
      <c r="B14" s="14"/>
      <c r="C14" s="14"/>
      <c r="D14" s="14"/>
      <c r="E14" s="14"/>
      <c r="F14" s="14"/>
      <c r="G14" s="13"/>
      <c r="H14" s="13"/>
      <c r="I14" s="13"/>
      <c r="J14" s="13"/>
      <c r="K14" s="29"/>
      <c r="L14" s="29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29"/>
      <c r="B15" s="14"/>
      <c r="C15" s="14"/>
      <c r="D15" s="14"/>
      <c r="E15" s="14"/>
      <c r="F15" s="14"/>
      <c r="G15" s="13"/>
      <c r="H15" s="13"/>
      <c r="I15" s="13"/>
      <c r="J15" s="13"/>
      <c r="K15" s="29"/>
      <c r="L15" s="29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29"/>
      <c r="B16" s="14"/>
      <c r="C16" s="14"/>
      <c r="D16" s="14"/>
      <c r="E16" s="14"/>
      <c r="F16" s="14"/>
      <c r="G16" s="13"/>
      <c r="H16" s="13"/>
      <c r="I16" s="13"/>
      <c r="J16" s="13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29"/>
      <c r="B17" s="14"/>
      <c r="C17" s="14"/>
      <c r="D17" s="14"/>
      <c r="E17" s="14"/>
      <c r="F17" s="14"/>
      <c r="G17" s="13"/>
      <c r="H17" s="13"/>
      <c r="I17" s="13"/>
      <c r="J17" s="13"/>
      <c r="K17" s="29"/>
      <c r="L17" s="29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29"/>
      <c r="B18" s="14"/>
      <c r="C18" s="14"/>
      <c r="D18" s="14"/>
      <c r="E18" s="14"/>
      <c r="F18" s="14"/>
      <c r="G18" s="13"/>
      <c r="H18" s="13"/>
      <c r="I18" s="13"/>
      <c r="J18" s="13"/>
      <c r="K18" s="29"/>
      <c r="L18" s="29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29"/>
      <c r="B19" s="14"/>
      <c r="C19" s="14"/>
      <c r="D19" s="14"/>
      <c r="E19" s="14"/>
      <c r="F19" s="14"/>
      <c r="G19" s="13"/>
      <c r="H19" s="13"/>
      <c r="I19" s="13"/>
      <c r="J19" s="13"/>
      <c r="K19" s="29"/>
      <c r="L19" s="2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29"/>
      <c r="B20" s="14"/>
      <c r="C20" s="14"/>
      <c r="D20" s="14"/>
      <c r="E20" s="14"/>
      <c r="F20" s="14"/>
      <c r="G20" s="13"/>
      <c r="H20" s="13"/>
      <c r="I20" s="13"/>
      <c r="J20" s="13"/>
      <c r="K20" s="29"/>
      <c r="L20" s="29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ht="15.75" customHeight="1">
      <c r="A21" s="29"/>
      <c r="B21" s="14"/>
      <c r="C21" s="14"/>
      <c r="D21" s="14"/>
      <c r="E21" s="14"/>
      <c r="F21" s="14"/>
      <c r="G21" s="13"/>
      <c r="H21" s="13"/>
      <c r="I21" s="13"/>
      <c r="J21" s="13"/>
      <c r="K21" s="29"/>
      <c r="L21" s="29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ht="15.75" customHeight="1">
      <c r="A22" s="29"/>
      <c r="B22" s="14"/>
      <c r="C22" s="14"/>
      <c r="D22" s="14"/>
      <c r="E22" s="14"/>
      <c r="F22" s="14"/>
      <c r="G22" s="13"/>
      <c r="H22" s="13"/>
      <c r="I22" s="13"/>
      <c r="J22" s="13"/>
      <c r="K22" s="29"/>
      <c r="L22" s="29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ht="15.75" customHeight="1">
      <c r="A23" s="29"/>
      <c r="B23" s="14"/>
      <c r="C23" s="14"/>
      <c r="D23" s="14"/>
      <c r="E23" s="14"/>
      <c r="F23" s="14"/>
      <c r="G23" s="13"/>
      <c r="H23" s="13"/>
      <c r="I23" s="13"/>
      <c r="J23" s="13"/>
      <c r="K23" s="29"/>
      <c r="L23" s="29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ht="15.75" customHeight="1">
      <c r="A24" s="29"/>
      <c r="B24" s="14"/>
      <c r="C24" s="14"/>
      <c r="D24" s="14"/>
      <c r="E24" s="14"/>
      <c r="F24" s="14"/>
      <c r="G24" s="13"/>
      <c r="H24" s="13"/>
      <c r="I24" s="13"/>
      <c r="J24" s="13"/>
      <c r="K24" s="29"/>
      <c r="L24" s="2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ht="15.75" customHeight="1">
      <c r="A25" s="29"/>
      <c r="B25" s="14"/>
      <c r="C25" s="14"/>
      <c r="D25" s="14"/>
      <c r="E25" s="14"/>
      <c r="F25" s="14"/>
      <c r="G25" s="13"/>
      <c r="H25" s="13"/>
      <c r="I25" s="13"/>
      <c r="J25" s="13"/>
      <c r="K25" s="29"/>
      <c r="L25" s="2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ht="15.75" customHeight="1">
      <c r="A26" s="29"/>
      <c r="B26" s="14"/>
      <c r="C26" s="14"/>
      <c r="D26" s="14"/>
      <c r="E26" s="14"/>
      <c r="F26" s="14"/>
      <c r="G26" s="13"/>
      <c r="H26" s="13"/>
      <c r="I26" s="13"/>
      <c r="J26" s="13"/>
      <c r="K26" s="29"/>
      <c r="L26" s="2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ht="15.75" customHeight="1">
      <c r="A27" s="29"/>
      <c r="B27" s="14"/>
      <c r="C27" s="14"/>
      <c r="D27" s="14"/>
      <c r="E27" s="14"/>
      <c r="F27" s="14"/>
      <c r="G27" s="13"/>
      <c r="H27" s="13"/>
      <c r="I27" s="13"/>
      <c r="J27" s="13"/>
      <c r="K27" s="29"/>
      <c r="L27" s="2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ht="15.75" customHeight="1">
      <c r="A28" s="29"/>
      <c r="B28" s="14"/>
      <c r="C28" s="14"/>
      <c r="D28" s="14"/>
      <c r="E28" s="14"/>
      <c r="F28" s="14"/>
      <c r="G28" s="13"/>
      <c r="H28" s="13"/>
      <c r="I28" s="13"/>
      <c r="J28" s="13"/>
      <c r="K28" s="29"/>
      <c r="L28" s="2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ht="15.75" customHeight="1">
      <c r="A29" s="29"/>
      <c r="B29" s="14"/>
      <c r="C29" s="14"/>
      <c r="D29" s="14"/>
      <c r="E29" s="14"/>
      <c r="F29" s="14"/>
      <c r="G29" s="13"/>
      <c r="H29" s="13"/>
      <c r="I29" s="13"/>
      <c r="J29" s="13"/>
      <c r="K29" s="29"/>
      <c r="L29" s="29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ht="15.75" customHeight="1">
      <c r="A30" s="29"/>
      <c r="B30" s="14"/>
      <c r="C30" s="14"/>
      <c r="D30" s="14"/>
      <c r="E30" s="14"/>
      <c r="F30" s="14"/>
      <c r="G30" s="13"/>
      <c r="H30" s="13"/>
      <c r="I30" s="13"/>
      <c r="J30" s="13"/>
      <c r="K30" s="29"/>
      <c r="L30" s="29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ht="15.75" customHeight="1">
      <c r="A31" s="29"/>
      <c r="B31" s="14"/>
      <c r="C31" s="14"/>
      <c r="D31" s="14"/>
      <c r="E31" s="14"/>
      <c r="F31" s="14"/>
      <c r="G31" s="13"/>
      <c r="H31" s="13"/>
      <c r="I31" s="13"/>
      <c r="J31" s="13"/>
      <c r="K31" s="29"/>
      <c r="L31" s="29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ht="15.75" customHeight="1">
      <c r="A32" s="29"/>
      <c r="B32" s="14"/>
      <c r="C32" s="14"/>
      <c r="D32" s="14"/>
      <c r="E32" s="14"/>
      <c r="F32" s="14"/>
      <c r="G32" s="13"/>
      <c r="H32" s="13"/>
      <c r="I32" s="13"/>
      <c r="J32" s="13"/>
      <c r="K32" s="29"/>
      <c r="L32" s="29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ht="15.75" customHeight="1">
      <c r="A33" s="29"/>
      <c r="B33" s="14"/>
      <c r="C33" s="14"/>
      <c r="D33" s="14"/>
      <c r="E33" s="14"/>
      <c r="F33" s="14"/>
      <c r="G33" s="13"/>
      <c r="H33" s="13"/>
      <c r="I33" s="13"/>
      <c r="J33" s="13"/>
      <c r="K33" s="29"/>
      <c r="L33" s="2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ht="15.75" customHeight="1">
      <c r="A34" s="29"/>
      <c r="B34" s="14"/>
      <c r="C34" s="14"/>
      <c r="D34" s="14"/>
      <c r="E34" s="14"/>
      <c r="F34" s="14"/>
      <c r="G34" s="13"/>
      <c r="H34" s="13"/>
      <c r="I34" s="13"/>
      <c r="J34" s="13"/>
      <c r="K34" s="29"/>
      <c r="L34" s="2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ht="15.75" customHeight="1">
      <c r="A35" s="29"/>
      <c r="B35" s="14"/>
      <c r="C35" s="14"/>
      <c r="D35" s="14"/>
      <c r="E35" s="14"/>
      <c r="F35" s="14"/>
      <c r="G35" s="13"/>
      <c r="H35" s="13"/>
      <c r="I35" s="13"/>
      <c r="J35" s="13"/>
      <c r="K35" s="29"/>
      <c r="L35" s="2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ht="15.75" customHeight="1">
      <c r="A36" s="29"/>
      <c r="B36" s="14"/>
      <c r="C36" s="14"/>
      <c r="D36" s="14"/>
      <c r="E36" s="14"/>
      <c r="F36" s="14"/>
      <c r="G36" s="13"/>
      <c r="H36" s="13"/>
      <c r="I36" s="13"/>
      <c r="J36" s="13"/>
      <c r="K36" s="29"/>
      <c r="L36" s="2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ht="15.75" customHeight="1">
      <c r="A37" s="29"/>
      <c r="B37" s="14"/>
      <c r="C37" s="14"/>
      <c r="D37" s="14"/>
      <c r="E37" s="14"/>
      <c r="F37" s="14"/>
      <c r="G37" s="13"/>
      <c r="H37" s="13"/>
      <c r="I37" s="13"/>
      <c r="J37" s="13"/>
      <c r="K37" s="29"/>
      <c r="L37" s="2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ht="15.75" customHeight="1">
      <c r="A38" s="29"/>
      <c r="B38" s="14"/>
      <c r="C38" s="14"/>
      <c r="D38" s="14"/>
      <c r="E38" s="14"/>
      <c r="F38" s="14"/>
      <c r="G38" s="13"/>
      <c r="H38" s="13"/>
      <c r="I38" s="13"/>
      <c r="J38" s="13"/>
      <c r="K38" s="29"/>
      <c r="L38" s="29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ht="15.75" customHeight="1">
      <c r="A39" s="29"/>
      <c r="B39" s="14"/>
      <c r="C39" s="14"/>
      <c r="D39" s="14"/>
      <c r="E39" s="14"/>
      <c r="F39" s="14"/>
      <c r="G39" s="13"/>
      <c r="H39" s="13"/>
      <c r="I39" s="13"/>
      <c r="J39" s="13"/>
      <c r="K39" s="29"/>
      <c r="L39" s="2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ht="15.75" customHeight="1">
      <c r="A40" s="29"/>
      <c r="B40" s="14"/>
      <c r="C40" s="14"/>
      <c r="D40" s="14"/>
      <c r="E40" s="14"/>
      <c r="F40" s="14"/>
      <c r="G40" s="13"/>
      <c r="H40" s="13"/>
      <c r="I40" s="13"/>
      <c r="J40" s="13"/>
      <c r="K40" s="29"/>
      <c r="L40" s="29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ht="15.75" customHeight="1">
      <c r="A41" s="29"/>
      <c r="B41" s="14"/>
      <c r="C41" s="14"/>
      <c r="D41" s="14"/>
      <c r="E41" s="14"/>
      <c r="F41" s="14"/>
      <c r="G41" s="13"/>
      <c r="H41" s="13"/>
      <c r="I41" s="13"/>
      <c r="J41" s="13"/>
      <c r="K41" s="29"/>
      <c r="L41" s="2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ht="15.75" customHeight="1">
      <c r="A42" s="29"/>
      <c r="B42" s="14"/>
      <c r="C42" s="14"/>
      <c r="D42" s="14"/>
      <c r="E42" s="14"/>
      <c r="F42" s="14"/>
      <c r="G42" s="13"/>
      <c r="H42" s="13"/>
      <c r="I42" s="13"/>
      <c r="J42" s="13"/>
      <c r="K42" s="29"/>
      <c r="L42" s="29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ht="15.75" customHeight="1">
      <c r="A43" s="29"/>
      <c r="B43" s="14"/>
      <c r="C43" s="14"/>
      <c r="D43" s="14"/>
      <c r="E43" s="14"/>
      <c r="F43" s="14"/>
      <c r="G43" s="13"/>
      <c r="H43" s="13"/>
      <c r="I43" s="13"/>
      <c r="J43" s="13"/>
      <c r="K43" s="29"/>
      <c r="L43" s="29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ht="15.75" customHeight="1">
      <c r="A44" s="29"/>
      <c r="B44" s="14"/>
      <c r="C44" s="14"/>
      <c r="D44" s="14"/>
      <c r="E44" s="14"/>
      <c r="F44" s="14"/>
      <c r="G44" s="13"/>
      <c r="H44" s="13"/>
      <c r="I44" s="13"/>
      <c r="J44" s="13"/>
      <c r="K44" s="29"/>
      <c r="L44" s="29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ht="15.75" customHeight="1">
      <c r="A45" s="29"/>
      <c r="B45" s="14"/>
      <c r="C45" s="14"/>
      <c r="D45" s="14"/>
      <c r="E45" s="14"/>
      <c r="F45" s="14"/>
      <c r="G45" s="13"/>
      <c r="H45" s="13"/>
      <c r="I45" s="13"/>
      <c r="J45" s="13"/>
      <c r="K45" s="29"/>
      <c r="L45" s="29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ht="15.75" customHeight="1">
      <c r="A46" s="29"/>
      <c r="B46" s="14"/>
      <c r="C46" s="14"/>
      <c r="D46" s="14"/>
      <c r="E46" s="14"/>
      <c r="F46" s="14"/>
      <c r="G46" s="13"/>
      <c r="H46" s="13"/>
      <c r="I46" s="13"/>
      <c r="J46" s="13"/>
      <c r="K46" s="29"/>
      <c r="L46" s="29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ht="15.75" customHeight="1">
      <c r="A47" s="29"/>
      <c r="B47" s="14"/>
      <c r="C47" s="14"/>
      <c r="D47" s="14"/>
      <c r="E47" s="14"/>
      <c r="F47" s="14"/>
      <c r="G47" s="13"/>
      <c r="H47" s="13"/>
      <c r="I47" s="13"/>
      <c r="J47" s="13"/>
      <c r="K47" s="29"/>
      <c r="L47" s="29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ht="15.75" customHeight="1">
      <c r="A48" s="29"/>
      <c r="B48" s="14"/>
      <c r="C48" s="14"/>
      <c r="D48" s="14"/>
      <c r="E48" s="14"/>
      <c r="F48" s="14"/>
      <c r="G48" s="13"/>
      <c r="H48" s="13"/>
      <c r="I48" s="13"/>
      <c r="J48" s="13"/>
      <c r="K48" s="29"/>
      <c r="L48" s="29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ht="15.75" customHeight="1">
      <c r="A49" s="29"/>
      <c r="B49" s="14"/>
      <c r="C49" s="14"/>
      <c r="D49" s="14"/>
      <c r="E49" s="14"/>
      <c r="F49" s="14"/>
      <c r="G49" s="13"/>
      <c r="H49" s="13"/>
      <c r="I49" s="13"/>
      <c r="J49" s="13"/>
      <c r="K49" s="29"/>
      <c r="L49" s="29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5.75" customHeight="1">
      <c r="A50" s="29"/>
      <c r="B50" s="14"/>
      <c r="C50" s="14"/>
      <c r="D50" s="14"/>
      <c r="E50" s="14"/>
      <c r="F50" s="14"/>
      <c r="G50" s="13"/>
      <c r="H50" s="13"/>
      <c r="I50" s="13"/>
      <c r="J50" s="13"/>
      <c r="K50" s="29"/>
      <c r="L50" s="29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ht="15.75" customHeight="1">
      <c r="A51" s="29"/>
      <c r="B51" s="14"/>
      <c r="C51" s="14"/>
      <c r="D51" s="14"/>
      <c r="E51" s="14"/>
      <c r="F51" s="14"/>
      <c r="G51" s="13"/>
      <c r="H51" s="13"/>
      <c r="I51" s="13"/>
      <c r="J51" s="13"/>
      <c r="K51" s="29"/>
      <c r="L51" s="29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ht="15.75" customHeight="1">
      <c r="A52" s="29"/>
      <c r="B52" s="14"/>
      <c r="C52" s="14"/>
      <c r="D52" s="14"/>
      <c r="E52" s="14"/>
      <c r="F52" s="14"/>
      <c r="G52" s="13"/>
      <c r="H52" s="13"/>
      <c r="I52" s="13"/>
      <c r="J52" s="13"/>
      <c r="K52" s="29"/>
      <c r="L52" s="29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ht="15.75" customHeight="1">
      <c r="A53" s="29"/>
      <c r="B53" s="14"/>
      <c r="C53" s="14"/>
      <c r="D53" s="14"/>
      <c r="E53" s="14"/>
      <c r="F53" s="14"/>
      <c r="G53" s="13"/>
      <c r="H53" s="13"/>
      <c r="I53" s="13"/>
      <c r="J53" s="13"/>
      <c r="K53" s="29"/>
      <c r="L53" s="29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ht="15.75" customHeight="1">
      <c r="A54" s="29"/>
      <c r="B54" s="14"/>
      <c r="C54" s="14"/>
      <c r="D54" s="14"/>
      <c r="E54" s="14"/>
      <c r="F54" s="14"/>
      <c r="G54" s="13"/>
      <c r="H54" s="13"/>
      <c r="I54" s="13"/>
      <c r="J54" s="13"/>
      <c r="K54" s="29"/>
      <c r="L54" s="29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ht="15.75" customHeight="1">
      <c r="A55" s="29"/>
      <c r="B55" s="14"/>
      <c r="C55" s="14"/>
      <c r="D55" s="14"/>
      <c r="E55" s="14"/>
      <c r="F55" s="14"/>
      <c r="G55" s="13"/>
      <c r="H55" s="13"/>
      <c r="I55" s="13"/>
      <c r="J55" s="13"/>
      <c r="K55" s="29"/>
      <c r="L55" s="29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ht="15.75" customHeight="1">
      <c r="A56" s="29"/>
      <c r="B56" s="14"/>
      <c r="C56" s="14"/>
      <c r="D56" s="14"/>
      <c r="E56" s="14"/>
      <c r="F56" s="14"/>
      <c r="G56" s="13"/>
      <c r="H56" s="13"/>
      <c r="I56" s="13"/>
      <c r="J56" s="13"/>
      <c r="K56" s="29"/>
      <c r="L56" s="29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ht="15.75" customHeight="1">
      <c r="A57" s="29"/>
      <c r="B57" s="14"/>
      <c r="C57" s="14"/>
      <c r="D57" s="14"/>
      <c r="E57" s="14"/>
      <c r="F57" s="14"/>
      <c r="G57" s="13"/>
      <c r="H57" s="13"/>
      <c r="I57" s="13"/>
      <c r="J57" s="13"/>
      <c r="K57" s="29"/>
      <c r="L57" s="29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ht="15.75" customHeight="1">
      <c r="A58" s="29"/>
      <c r="B58" s="14"/>
      <c r="C58" s="14"/>
      <c r="D58" s="14"/>
      <c r="E58" s="14"/>
      <c r="F58" s="14"/>
      <c r="G58" s="13"/>
      <c r="H58" s="13"/>
      <c r="I58" s="13"/>
      <c r="J58" s="13"/>
      <c r="K58" s="29"/>
      <c r="L58" s="29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5.75" customHeight="1">
      <c r="A59" s="29"/>
      <c r="B59" s="14"/>
      <c r="C59" s="14"/>
      <c r="D59" s="14"/>
      <c r="E59" s="14"/>
      <c r="F59" s="14"/>
      <c r="G59" s="13"/>
      <c r="H59" s="13"/>
      <c r="I59" s="13"/>
      <c r="J59" s="13"/>
      <c r="K59" s="29"/>
      <c r="L59" s="29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5.75" customHeight="1">
      <c r="A60" s="29"/>
      <c r="B60" s="14"/>
      <c r="C60" s="14"/>
      <c r="D60" s="14"/>
      <c r="E60" s="14"/>
      <c r="F60" s="14"/>
      <c r="G60" s="13"/>
      <c r="H60" s="13"/>
      <c r="I60" s="13"/>
      <c r="J60" s="13"/>
      <c r="K60" s="29"/>
      <c r="L60" s="29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ht="15.75" customHeight="1">
      <c r="A61" s="29"/>
      <c r="B61" s="14"/>
      <c r="C61" s="14"/>
      <c r="D61" s="14"/>
      <c r="E61" s="14"/>
      <c r="F61" s="14"/>
      <c r="G61" s="13"/>
      <c r="H61" s="13"/>
      <c r="I61" s="13"/>
      <c r="J61" s="13"/>
      <c r="K61" s="29"/>
      <c r="L61" s="29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ht="15.75" customHeight="1">
      <c r="A62" s="29"/>
      <c r="B62" s="14"/>
      <c r="C62" s="14"/>
      <c r="D62" s="14"/>
      <c r="E62" s="14"/>
      <c r="F62" s="14"/>
      <c r="G62" s="13"/>
      <c r="H62" s="13"/>
      <c r="I62" s="13"/>
      <c r="J62" s="13"/>
      <c r="K62" s="29"/>
      <c r="L62" s="29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ht="15.75" customHeight="1">
      <c r="A63" s="29"/>
      <c r="B63" s="14"/>
      <c r="C63" s="14"/>
      <c r="D63" s="14"/>
      <c r="E63" s="14"/>
      <c r="F63" s="14"/>
      <c r="G63" s="13"/>
      <c r="H63" s="13"/>
      <c r="I63" s="13"/>
      <c r="J63" s="13"/>
      <c r="K63" s="29"/>
      <c r="L63" s="29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ht="15.75" customHeight="1">
      <c r="A64" s="29"/>
      <c r="B64" s="14"/>
      <c r="C64" s="14"/>
      <c r="D64" s="14"/>
      <c r="E64" s="14"/>
      <c r="F64" s="14"/>
      <c r="G64" s="13"/>
      <c r="H64" s="13"/>
      <c r="I64" s="13"/>
      <c r="J64" s="13"/>
      <c r="K64" s="29"/>
      <c r="L64" s="29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ht="15.75" customHeight="1">
      <c r="A65" s="29"/>
      <c r="B65" s="14"/>
      <c r="C65" s="14"/>
      <c r="D65" s="14"/>
      <c r="E65" s="14"/>
      <c r="F65" s="14"/>
      <c r="G65" s="13"/>
      <c r="H65" s="13"/>
      <c r="I65" s="13"/>
      <c r="J65" s="13"/>
      <c r="K65" s="29"/>
      <c r="L65" s="29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ht="15.75" customHeight="1">
      <c r="A66" s="29"/>
      <c r="B66" s="14"/>
      <c r="C66" s="14"/>
      <c r="D66" s="14"/>
      <c r="E66" s="14"/>
      <c r="F66" s="14"/>
      <c r="G66" s="13"/>
      <c r="H66" s="13"/>
      <c r="I66" s="13"/>
      <c r="J66" s="13"/>
      <c r="K66" s="29"/>
      <c r="L66" s="29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ht="15.75" customHeight="1">
      <c r="A67" s="29"/>
      <c r="B67" s="14"/>
      <c r="C67" s="14"/>
      <c r="D67" s="14"/>
      <c r="E67" s="14"/>
      <c r="F67" s="14"/>
      <c r="G67" s="13"/>
      <c r="H67" s="13"/>
      <c r="I67" s="13"/>
      <c r="J67" s="13"/>
      <c r="K67" s="29"/>
      <c r="L67" s="29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ht="15.75" customHeight="1">
      <c r="A68" s="29"/>
      <c r="B68" s="14"/>
      <c r="C68" s="14"/>
      <c r="D68" s="14"/>
      <c r="E68" s="14"/>
      <c r="F68" s="14"/>
      <c r="G68" s="13"/>
      <c r="H68" s="13"/>
      <c r="I68" s="13"/>
      <c r="J68" s="13"/>
      <c r="K68" s="29"/>
      <c r="L68" s="29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5.75" customHeight="1">
      <c r="A69" s="29"/>
      <c r="B69" s="14"/>
      <c r="C69" s="14"/>
      <c r="D69" s="14"/>
      <c r="E69" s="14"/>
      <c r="F69" s="14"/>
      <c r="G69" s="13"/>
      <c r="H69" s="13"/>
      <c r="I69" s="13"/>
      <c r="J69" s="13"/>
      <c r="K69" s="29"/>
      <c r="L69" s="29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ht="15.75" customHeight="1">
      <c r="A70" s="29"/>
      <c r="B70" s="14"/>
      <c r="C70" s="14"/>
      <c r="D70" s="14"/>
      <c r="E70" s="14"/>
      <c r="F70" s="14"/>
      <c r="G70" s="13"/>
      <c r="H70" s="13"/>
      <c r="I70" s="13"/>
      <c r="J70" s="13"/>
      <c r="K70" s="29"/>
      <c r="L70" s="29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ht="15.75" customHeight="1">
      <c r="A71" s="29"/>
      <c r="B71" s="14"/>
      <c r="C71" s="14"/>
      <c r="D71" s="14"/>
      <c r="E71" s="14"/>
      <c r="F71" s="14"/>
      <c r="G71" s="13"/>
      <c r="H71" s="13"/>
      <c r="I71" s="13"/>
      <c r="J71" s="13"/>
      <c r="K71" s="29"/>
      <c r="L71" s="29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ht="15.75" customHeight="1">
      <c r="A72" s="29"/>
      <c r="B72" s="14"/>
      <c r="C72" s="14"/>
      <c r="D72" s="14"/>
      <c r="E72" s="14"/>
      <c r="F72" s="14"/>
      <c r="G72" s="13"/>
      <c r="H72" s="13"/>
      <c r="I72" s="13"/>
      <c r="J72" s="13"/>
      <c r="K72" s="29"/>
      <c r="L72" s="29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ht="15.75" customHeight="1">
      <c r="A73" s="29"/>
      <c r="B73" s="14"/>
      <c r="C73" s="14"/>
      <c r="D73" s="14"/>
      <c r="E73" s="14"/>
      <c r="F73" s="14"/>
      <c r="G73" s="13"/>
      <c r="H73" s="13"/>
      <c r="I73" s="13"/>
      <c r="J73" s="13"/>
      <c r="K73" s="29"/>
      <c r="L73" s="29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ht="15.75" customHeight="1">
      <c r="A74" s="29"/>
      <c r="B74" s="14"/>
      <c r="C74" s="14"/>
      <c r="D74" s="14"/>
      <c r="E74" s="14"/>
      <c r="F74" s="14"/>
      <c r="G74" s="13"/>
      <c r="H74" s="13"/>
      <c r="I74" s="13"/>
      <c r="J74" s="13"/>
      <c r="K74" s="29"/>
      <c r="L74" s="29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ht="15.75" customHeight="1">
      <c r="A75" s="29"/>
      <c r="B75" s="14"/>
      <c r="C75" s="14"/>
      <c r="D75" s="14"/>
      <c r="E75" s="14"/>
      <c r="F75" s="14"/>
      <c r="G75" s="13"/>
      <c r="H75" s="13"/>
      <c r="I75" s="13"/>
      <c r="J75" s="13"/>
      <c r="K75" s="29"/>
      <c r="L75" s="29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ht="15.75" customHeight="1">
      <c r="A76" s="29"/>
      <c r="B76" s="14"/>
      <c r="C76" s="14"/>
      <c r="D76" s="14"/>
      <c r="E76" s="14"/>
      <c r="F76" s="14"/>
      <c r="G76" s="13"/>
      <c r="H76" s="13"/>
      <c r="I76" s="13"/>
      <c r="J76" s="13"/>
      <c r="K76" s="29"/>
      <c r="L76" s="29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ht="15.75" customHeight="1">
      <c r="A77" s="29"/>
      <c r="B77" s="14"/>
      <c r="C77" s="14"/>
      <c r="D77" s="14"/>
      <c r="E77" s="14"/>
      <c r="F77" s="14"/>
      <c r="G77" s="13"/>
      <c r="H77" s="13"/>
      <c r="I77" s="13"/>
      <c r="J77" s="13"/>
      <c r="K77" s="29"/>
      <c r="L77" s="29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ht="15.75" customHeight="1">
      <c r="A78" s="29"/>
      <c r="B78" s="14"/>
      <c r="C78" s="14"/>
      <c r="D78" s="14"/>
      <c r="E78" s="14"/>
      <c r="F78" s="14"/>
      <c r="G78" s="13"/>
      <c r="H78" s="13"/>
      <c r="I78" s="13"/>
      <c r="J78" s="13"/>
      <c r="K78" s="29"/>
      <c r="L78" s="29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ht="15.75" customHeight="1">
      <c r="A79" s="29"/>
      <c r="B79" s="14"/>
      <c r="C79" s="14"/>
      <c r="D79" s="14"/>
      <c r="E79" s="14"/>
      <c r="F79" s="14"/>
      <c r="G79" s="13"/>
      <c r="H79" s="13"/>
      <c r="I79" s="13"/>
      <c r="J79" s="13"/>
      <c r="K79" s="29"/>
      <c r="L79" s="29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ht="15.75" customHeight="1">
      <c r="A80" s="29"/>
      <c r="B80" s="14"/>
      <c r="C80" s="14"/>
      <c r="D80" s="14"/>
      <c r="E80" s="14"/>
      <c r="F80" s="14"/>
      <c r="G80" s="13"/>
      <c r="H80" s="13"/>
      <c r="I80" s="13"/>
      <c r="J80" s="13"/>
      <c r="K80" s="29"/>
      <c r="L80" s="29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ht="15.75" customHeight="1">
      <c r="A81" s="29"/>
      <c r="B81" s="14"/>
      <c r="C81" s="14"/>
      <c r="D81" s="14"/>
      <c r="E81" s="14"/>
      <c r="F81" s="14"/>
      <c r="G81" s="13"/>
      <c r="H81" s="13"/>
      <c r="I81" s="13"/>
      <c r="J81" s="13"/>
      <c r="K81" s="29"/>
      <c r="L81" s="29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ht="15.75" customHeight="1">
      <c r="A82" s="29"/>
      <c r="B82" s="14"/>
      <c r="C82" s="14"/>
      <c r="D82" s="14"/>
      <c r="E82" s="14"/>
      <c r="F82" s="14"/>
      <c r="G82" s="13"/>
      <c r="H82" s="13"/>
      <c r="I82" s="13"/>
      <c r="J82" s="13"/>
      <c r="K82" s="29"/>
      <c r="L82" s="29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ht="15.75" customHeight="1">
      <c r="A83" s="29"/>
      <c r="B83" s="14"/>
      <c r="C83" s="14"/>
      <c r="D83" s="14"/>
      <c r="E83" s="14"/>
      <c r="F83" s="14"/>
      <c r="G83" s="13"/>
      <c r="H83" s="13"/>
      <c r="I83" s="13"/>
      <c r="J83" s="13"/>
      <c r="K83" s="29"/>
      <c r="L83" s="29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ht="15.75" customHeight="1">
      <c r="A84" s="29"/>
      <c r="B84" s="14"/>
      <c r="C84" s="14"/>
      <c r="D84" s="14"/>
      <c r="E84" s="14"/>
      <c r="F84" s="14"/>
      <c r="G84" s="13"/>
      <c r="H84" s="13"/>
      <c r="I84" s="13"/>
      <c r="J84" s="13"/>
      <c r="K84" s="29"/>
      <c r="L84" s="29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ht="15.75" customHeight="1">
      <c r="A85" s="29"/>
      <c r="B85" s="14"/>
      <c r="C85" s="14"/>
      <c r="D85" s="14"/>
      <c r="E85" s="14"/>
      <c r="F85" s="14"/>
      <c r="G85" s="13"/>
      <c r="H85" s="13"/>
      <c r="I85" s="13"/>
      <c r="J85" s="13"/>
      <c r="K85" s="29"/>
      <c r="L85" s="29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ht="15.75" customHeight="1">
      <c r="A86" s="29"/>
      <c r="B86" s="14"/>
      <c r="C86" s="14"/>
      <c r="D86" s="14"/>
      <c r="E86" s="14"/>
      <c r="F86" s="14"/>
      <c r="G86" s="13"/>
      <c r="H86" s="13"/>
      <c r="I86" s="13"/>
      <c r="J86" s="13"/>
      <c r="K86" s="29"/>
      <c r="L86" s="29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ht="15.75" customHeight="1">
      <c r="A87" s="29"/>
      <c r="B87" s="14"/>
      <c r="C87" s="14"/>
      <c r="D87" s="14"/>
      <c r="E87" s="14"/>
      <c r="F87" s="14"/>
      <c r="G87" s="13"/>
      <c r="H87" s="13"/>
      <c r="I87" s="13"/>
      <c r="J87" s="13"/>
      <c r="K87" s="29"/>
      <c r="L87" s="29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ht="15.75" customHeight="1">
      <c r="A88" s="29"/>
      <c r="B88" s="14"/>
      <c r="C88" s="14"/>
      <c r="D88" s="14"/>
      <c r="E88" s="14"/>
      <c r="F88" s="14"/>
      <c r="G88" s="13"/>
      <c r="H88" s="13"/>
      <c r="I88" s="13"/>
      <c r="J88" s="13"/>
      <c r="K88" s="29"/>
      <c r="L88" s="29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5.75" customHeight="1">
      <c r="A89" s="29"/>
      <c r="B89" s="14"/>
      <c r="C89" s="14"/>
      <c r="D89" s="14"/>
      <c r="E89" s="14"/>
      <c r="F89" s="14"/>
      <c r="G89" s="13"/>
      <c r="H89" s="13"/>
      <c r="I89" s="13"/>
      <c r="J89" s="13"/>
      <c r="K89" s="29"/>
      <c r="L89" s="29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5.75" customHeight="1">
      <c r="A90" s="29"/>
      <c r="B90" s="14"/>
      <c r="C90" s="14"/>
      <c r="D90" s="14"/>
      <c r="E90" s="14"/>
      <c r="F90" s="14"/>
      <c r="G90" s="13"/>
      <c r="H90" s="13"/>
      <c r="I90" s="13"/>
      <c r="J90" s="13"/>
      <c r="K90" s="29"/>
      <c r="L90" s="29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ht="15.75" customHeight="1">
      <c r="A91" s="29"/>
      <c r="B91" s="14"/>
      <c r="C91" s="14"/>
      <c r="D91" s="14"/>
      <c r="E91" s="14"/>
      <c r="F91" s="14"/>
      <c r="G91" s="13"/>
      <c r="H91" s="13"/>
      <c r="I91" s="13"/>
      <c r="J91" s="13"/>
      <c r="K91" s="29"/>
      <c r="L91" s="29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ht="15.75" customHeight="1">
      <c r="A92" s="29"/>
      <c r="B92" s="14"/>
      <c r="C92" s="14"/>
      <c r="D92" s="14"/>
      <c r="E92" s="14"/>
      <c r="F92" s="14"/>
      <c r="G92" s="13"/>
      <c r="H92" s="13"/>
      <c r="I92" s="13"/>
      <c r="J92" s="13"/>
      <c r="K92" s="29"/>
      <c r="L92" s="29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ht="15.75" customHeight="1">
      <c r="A93" s="29"/>
      <c r="B93" s="14"/>
      <c r="C93" s="14"/>
      <c r="D93" s="14"/>
      <c r="E93" s="14"/>
      <c r="F93" s="14"/>
      <c r="G93" s="13"/>
      <c r="H93" s="13"/>
      <c r="I93" s="13"/>
      <c r="J93" s="13"/>
      <c r="K93" s="29"/>
      <c r="L93" s="29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ht="15.75" customHeight="1">
      <c r="A94" s="29"/>
      <c r="B94" s="14"/>
      <c r="C94" s="14"/>
      <c r="D94" s="14"/>
      <c r="E94" s="14"/>
      <c r="F94" s="14"/>
      <c r="G94" s="13"/>
      <c r="H94" s="13"/>
      <c r="I94" s="13"/>
      <c r="J94" s="13"/>
      <c r="K94" s="29"/>
      <c r="L94" s="29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ht="15.75" customHeight="1">
      <c r="A95" s="29"/>
      <c r="B95" s="14"/>
      <c r="C95" s="14"/>
      <c r="D95" s="14"/>
      <c r="E95" s="14"/>
      <c r="F95" s="14"/>
      <c r="G95" s="13"/>
      <c r="H95" s="13"/>
      <c r="I95" s="13"/>
      <c r="J95" s="13"/>
      <c r="K95" s="29"/>
      <c r="L95" s="29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ht="15.75" customHeight="1">
      <c r="A96" s="29"/>
      <c r="B96" s="14"/>
      <c r="C96" s="14"/>
      <c r="D96" s="14"/>
      <c r="E96" s="14"/>
      <c r="F96" s="14"/>
      <c r="G96" s="13"/>
      <c r="H96" s="13"/>
      <c r="I96" s="13"/>
      <c r="J96" s="13"/>
      <c r="K96" s="29"/>
      <c r="L96" s="29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5.75" customHeight="1">
      <c r="A97" s="29"/>
      <c r="B97" s="14"/>
      <c r="C97" s="14"/>
      <c r="D97" s="14"/>
      <c r="E97" s="14"/>
      <c r="F97" s="14"/>
      <c r="G97" s="13"/>
      <c r="H97" s="13"/>
      <c r="I97" s="13"/>
      <c r="J97" s="13"/>
      <c r="K97" s="29"/>
      <c r="L97" s="29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ht="15.75" customHeight="1">
      <c r="A98" s="29"/>
      <c r="B98" s="14"/>
      <c r="C98" s="14"/>
      <c r="D98" s="14"/>
      <c r="E98" s="14"/>
      <c r="F98" s="14"/>
      <c r="G98" s="13"/>
      <c r="H98" s="13"/>
      <c r="I98" s="13"/>
      <c r="J98" s="13"/>
      <c r="K98" s="29"/>
      <c r="L98" s="29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ht="15.75" customHeight="1">
      <c r="A99" s="29"/>
      <c r="B99" s="14"/>
      <c r="C99" s="14"/>
      <c r="D99" s="14"/>
      <c r="E99" s="14"/>
      <c r="F99" s="14"/>
      <c r="G99" s="13"/>
      <c r="H99" s="13"/>
      <c r="I99" s="13"/>
      <c r="J99" s="13"/>
      <c r="K99" s="29"/>
      <c r="L99" s="29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ht="15.75" customHeight="1">
      <c r="A100" s="29"/>
      <c r="B100" s="14"/>
      <c r="C100" s="14"/>
      <c r="D100" s="14"/>
      <c r="E100" s="14"/>
      <c r="F100" s="14"/>
      <c r="G100" s="13"/>
      <c r="H100" s="13"/>
      <c r="I100" s="13"/>
      <c r="J100" s="13"/>
      <c r="K100" s="29"/>
      <c r="L100" s="29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ht="15.75" customHeight="1">
      <c r="A101" s="29"/>
      <c r="B101" s="14"/>
      <c r="C101" s="14"/>
      <c r="D101" s="14"/>
      <c r="E101" s="14"/>
      <c r="F101" s="14"/>
      <c r="G101" s="13"/>
      <c r="H101" s="13"/>
      <c r="I101" s="13"/>
      <c r="J101" s="13"/>
      <c r="K101" s="29"/>
      <c r="L101" s="29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ht="15.75" customHeight="1">
      <c r="A102" s="29"/>
      <c r="B102" s="14"/>
      <c r="C102" s="14"/>
      <c r="D102" s="14"/>
      <c r="E102" s="14"/>
      <c r="F102" s="14"/>
      <c r="G102" s="13"/>
      <c r="H102" s="13"/>
      <c r="I102" s="13"/>
      <c r="J102" s="13"/>
      <c r="K102" s="29"/>
      <c r="L102" s="29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ht="15.75" customHeight="1">
      <c r="A103" s="29"/>
      <c r="B103" s="14"/>
      <c r="C103" s="14"/>
      <c r="D103" s="14"/>
      <c r="E103" s="14"/>
      <c r="F103" s="14"/>
      <c r="G103" s="13"/>
      <c r="H103" s="13"/>
      <c r="I103" s="13"/>
      <c r="J103" s="13"/>
      <c r="K103" s="29"/>
      <c r="L103" s="29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ht="15.75" customHeight="1">
      <c r="A104" s="29"/>
      <c r="B104" s="14"/>
      <c r="C104" s="14"/>
      <c r="D104" s="14"/>
      <c r="E104" s="14"/>
      <c r="F104" s="14"/>
      <c r="G104" s="13"/>
      <c r="H104" s="13"/>
      <c r="I104" s="13"/>
      <c r="J104" s="13"/>
      <c r="K104" s="29"/>
      <c r="L104" s="29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ht="15.75" customHeight="1">
      <c r="A105" s="29"/>
      <c r="B105" s="14"/>
      <c r="C105" s="14"/>
      <c r="D105" s="14"/>
      <c r="E105" s="14"/>
      <c r="F105" s="14"/>
      <c r="G105" s="13"/>
      <c r="H105" s="13"/>
      <c r="I105" s="13"/>
      <c r="J105" s="13"/>
      <c r="K105" s="29"/>
      <c r="L105" s="29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ht="15.75" customHeight="1">
      <c r="A106" s="29"/>
      <c r="B106" s="14"/>
      <c r="C106" s="14"/>
      <c r="D106" s="14"/>
      <c r="E106" s="14"/>
      <c r="F106" s="14"/>
      <c r="G106" s="13"/>
      <c r="H106" s="13"/>
      <c r="I106" s="13"/>
      <c r="J106" s="13"/>
      <c r="K106" s="29"/>
      <c r="L106" s="29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ht="15.75" customHeight="1">
      <c r="A107" s="29"/>
      <c r="B107" s="14"/>
      <c r="C107" s="14"/>
      <c r="D107" s="14"/>
      <c r="E107" s="14"/>
      <c r="F107" s="14"/>
      <c r="G107" s="13"/>
      <c r="H107" s="13"/>
      <c r="I107" s="13"/>
      <c r="J107" s="13"/>
      <c r="K107" s="29"/>
      <c r="L107" s="29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ht="15.75" customHeight="1">
      <c r="A108" s="29"/>
      <c r="B108" s="14"/>
      <c r="C108" s="14"/>
      <c r="D108" s="14"/>
      <c r="E108" s="14"/>
      <c r="F108" s="14"/>
      <c r="G108" s="13"/>
      <c r="H108" s="13"/>
      <c r="I108" s="13"/>
      <c r="J108" s="13"/>
      <c r="K108" s="29"/>
      <c r="L108" s="29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ht="15.75" customHeight="1">
      <c r="A109" s="29"/>
      <c r="B109" s="14"/>
      <c r="C109" s="14"/>
      <c r="D109" s="14"/>
      <c r="E109" s="14"/>
      <c r="F109" s="14"/>
      <c r="G109" s="13"/>
      <c r="H109" s="13"/>
      <c r="I109" s="13"/>
      <c r="J109" s="13"/>
      <c r="K109" s="29"/>
      <c r="L109" s="29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ht="15.75" customHeight="1">
      <c r="A110" s="29"/>
      <c r="B110" s="14"/>
      <c r="C110" s="14"/>
      <c r="D110" s="14"/>
      <c r="E110" s="14"/>
      <c r="F110" s="14"/>
      <c r="G110" s="13"/>
      <c r="H110" s="13"/>
      <c r="I110" s="13"/>
      <c r="J110" s="13"/>
      <c r="K110" s="29"/>
      <c r="L110" s="29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ht="15.75" customHeight="1">
      <c r="A111" s="29"/>
      <c r="B111" s="14"/>
      <c r="C111" s="14"/>
      <c r="D111" s="14"/>
      <c r="E111" s="14"/>
      <c r="F111" s="14"/>
      <c r="G111" s="13"/>
      <c r="H111" s="13"/>
      <c r="I111" s="13"/>
      <c r="J111" s="13"/>
      <c r="K111" s="29"/>
      <c r="L111" s="29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ht="15.75" customHeight="1">
      <c r="A112" s="29"/>
      <c r="B112" s="14"/>
      <c r="C112" s="14"/>
      <c r="D112" s="14"/>
      <c r="E112" s="14"/>
      <c r="F112" s="14"/>
      <c r="G112" s="13"/>
      <c r="H112" s="13"/>
      <c r="I112" s="13"/>
      <c r="J112" s="13"/>
      <c r="K112" s="29"/>
      <c r="L112" s="29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ht="15.75" customHeight="1">
      <c r="A113" s="29"/>
      <c r="B113" s="14"/>
      <c r="C113" s="14"/>
      <c r="D113" s="14"/>
      <c r="E113" s="14"/>
      <c r="F113" s="14"/>
      <c r="G113" s="13"/>
      <c r="H113" s="13"/>
      <c r="I113" s="13"/>
      <c r="J113" s="13"/>
      <c r="K113" s="29"/>
      <c r="L113" s="29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ht="15.75" customHeight="1">
      <c r="A114" s="29"/>
      <c r="B114" s="14"/>
      <c r="C114" s="14"/>
      <c r="D114" s="14"/>
      <c r="E114" s="14"/>
      <c r="F114" s="14"/>
      <c r="G114" s="13"/>
      <c r="H114" s="13"/>
      <c r="I114" s="13"/>
      <c r="J114" s="13"/>
      <c r="K114" s="29"/>
      <c r="L114" s="29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ht="15.75" customHeight="1">
      <c r="A115" s="29"/>
      <c r="B115" s="14"/>
      <c r="C115" s="14"/>
      <c r="D115" s="14"/>
      <c r="E115" s="14"/>
      <c r="F115" s="14"/>
      <c r="G115" s="13"/>
      <c r="H115" s="13"/>
      <c r="I115" s="13"/>
      <c r="J115" s="13"/>
      <c r="K115" s="29"/>
      <c r="L115" s="29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ht="15.75" customHeight="1">
      <c r="A116" s="29"/>
      <c r="B116" s="14"/>
      <c r="C116" s="14"/>
      <c r="D116" s="14"/>
      <c r="E116" s="14"/>
      <c r="F116" s="14"/>
      <c r="G116" s="13"/>
      <c r="H116" s="13"/>
      <c r="I116" s="13"/>
      <c r="J116" s="13"/>
      <c r="K116" s="29"/>
      <c r="L116" s="29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ht="15.75" customHeight="1">
      <c r="A117" s="29"/>
      <c r="B117" s="14"/>
      <c r="C117" s="14"/>
      <c r="D117" s="14"/>
      <c r="E117" s="14"/>
      <c r="F117" s="14"/>
      <c r="G117" s="13"/>
      <c r="H117" s="13"/>
      <c r="I117" s="13"/>
      <c r="J117" s="13"/>
      <c r="K117" s="29"/>
      <c r="L117" s="29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ht="15.75" customHeight="1">
      <c r="A118" s="29"/>
      <c r="B118" s="14"/>
      <c r="C118" s="14"/>
      <c r="D118" s="14"/>
      <c r="E118" s="14"/>
      <c r="F118" s="14"/>
      <c r="G118" s="13"/>
      <c r="H118" s="13"/>
      <c r="I118" s="13"/>
      <c r="J118" s="13"/>
      <c r="K118" s="29"/>
      <c r="L118" s="29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ht="15.75" customHeight="1">
      <c r="A119" s="29"/>
      <c r="B119" s="14"/>
      <c r="C119" s="14"/>
      <c r="D119" s="14"/>
      <c r="E119" s="14"/>
      <c r="F119" s="14"/>
      <c r="G119" s="13"/>
      <c r="H119" s="13"/>
      <c r="I119" s="13"/>
      <c r="J119" s="13"/>
      <c r="K119" s="29"/>
      <c r="L119" s="29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ht="15.75" customHeight="1">
      <c r="A120" s="29"/>
      <c r="B120" s="14"/>
      <c r="C120" s="14"/>
      <c r="D120" s="14"/>
      <c r="E120" s="14"/>
      <c r="F120" s="14"/>
      <c r="G120" s="13"/>
      <c r="H120" s="13"/>
      <c r="I120" s="13"/>
      <c r="J120" s="13"/>
      <c r="K120" s="29"/>
      <c r="L120" s="29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ht="15.75" customHeight="1">
      <c r="A121" s="29"/>
      <c r="B121" s="14"/>
      <c r="C121" s="14"/>
      <c r="D121" s="14"/>
      <c r="E121" s="14"/>
      <c r="F121" s="14"/>
      <c r="G121" s="13"/>
      <c r="H121" s="13"/>
      <c r="I121" s="13"/>
      <c r="J121" s="13"/>
      <c r="K121" s="29"/>
      <c r="L121" s="29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ht="15.75" customHeight="1">
      <c r="A122" s="29"/>
      <c r="B122" s="14"/>
      <c r="C122" s="14"/>
      <c r="D122" s="14"/>
      <c r="E122" s="14"/>
      <c r="F122" s="14"/>
      <c r="G122" s="13"/>
      <c r="H122" s="13"/>
      <c r="I122" s="13"/>
      <c r="J122" s="13"/>
      <c r="K122" s="29"/>
      <c r="L122" s="29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ht="15.75" customHeight="1">
      <c r="A123" s="29"/>
      <c r="B123" s="14"/>
      <c r="C123" s="14"/>
      <c r="D123" s="14"/>
      <c r="E123" s="14"/>
      <c r="F123" s="14"/>
      <c r="G123" s="13"/>
      <c r="H123" s="13"/>
      <c r="I123" s="13"/>
      <c r="J123" s="13"/>
      <c r="K123" s="29"/>
      <c r="L123" s="29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ht="15.75" customHeight="1">
      <c r="A124" s="29"/>
      <c r="B124" s="14"/>
      <c r="C124" s="14"/>
      <c r="D124" s="14"/>
      <c r="E124" s="14"/>
      <c r="F124" s="14"/>
      <c r="G124" s="13"/>
      <c r="H124" s="13"/>
      <c r="I124" s="13"/>
      <c r="J124" s="13"/>
      <c r="K124" s="29"/>
      <c r="L124" s="29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ht="15.75" customHeight="1">
      <c r="A125" s="29"/>
      <c r="B125" s="14"/>
      <c r="C125" s="14"/>
      <c r="D125" s="14"/>
      <c r="E125" s="14"/>
      <c r="F125" s="14"/>
      <c r="G125" s="13"/>
      <c r="H125" s="13"/>
      <c r="I125" s="13"/>
      <c r="J125" s="13"/>
      <c r="K125" s="29"/>
      <c r="L125" s="29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ht="15.75" customHeight="1">
      <c r="A126" s="29"/>
      <c r="B126" s="14"/>
      <c r="C126" s="14"/>
      <c r="D126" s="14"/>
      <c r="E126" s="14"/>
      <c r="F126" s="14"/>
      <c r="G126" s="13"/>
      <c r="H126" s="13"/>
      <c r="I126" s="13"/>
      <c r="J126" s="13"/>
      <c r="K126" s="29"/>
      <c r="L126" s="29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ht="15.75" customHeight="1">
      <c r="A127" s="29"/>
      <c r="B127" s="14"/>
      <c r="C127" s="14"/>
      <c r="D127" s="14"/>
      <c r="E127" s="14"/>
      <c r="F127" s="14"/>
      <c r="G127" s="13"/>
      <c r="H127" s="13"/>
      <c r="I127" s="13"/>
      <c r="J127" s="13"/>
      <c r="K127" s="29"/>
      <c r="L127" s="29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ht="15.75" customHeight="1">
      <c r="A128" s="29"/>
      <c r="B128" s="14"/>
      <c r="C128" s="14"/>
      <c r="D128" s="14"/>
      <c r="E128" s="14"/>
      <c r="F128" s="14"/>
      <c r="G128" s="13"/>
      <c r="H128" s="13"/>
      <c r="I128" s="13"/>
      <c r="J128" s="13"/>
      <c r="K128" s="29"/>
      <c r="L128" s="29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ht="15.75" customHeight="1">
      <c r="A129" s="29"/>
      <c r="B129" s="14"/>
      <c r="C129" s="14"/>
      <c r="D129" s="14"/>
      <c r="E129" s="14"/>
      <c r="F129" s="14"/>
      <c r="G129" s="13"/>
      <c r="H129" s="13"/>
      <c r="I129" s="13"/>
      <c r="J129" s="13"/>
      <c r="K129" s="29"/>
      <c r="L129" s="29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ht="15.75" customHeight="1">
      <c r="A130" s="29"/>
      <c r="B130" s="14"/>
      <c r="C130" s="14"/>
      <c r="D130" s="14"/>
      <c r="E130" s="14"/>
      <c r="F130" s="14"/>
      <c r="G130" s="13"/>
      <c r="H130" s="13"/>
      <c r="I130" s="13"/>
      <c r="J130" s="13"/>
      <c r="K130" s="29"/>
      <c r="L130" s="29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ht="15.75" customHeight="1">
      <c r="A131" s="29"/>
      <c r="B131" s="14"/>
      <c r="C131" s="14"/>
      <c r="D131" s="14"/>
      <c r="E131" s="14"/>
      <c r="F131" s="14"/>
      <c r="G131" s="13"/>
      <c r="H131" s="13"/>
      <c r="I131" s="13"/>
      <c r="J131" s="13"/>
      <c r="K131" s="29"/>
      <c r="L131" s="29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ht="15.75" customHeight="1">
      <c r="A132" s="29"/>
      <c r="B132" s="14"/>
      <c r="C132" s="14"/>
      <c r="D132" s="14"/>
      <c r="E132" s="14"/>
      <c r="F132" s="14"/>
      <c r="G132" s="13"/>
      <c r="H132" s="13"/>
      <c r="I132" s="13"/>
      <c r="J132" s="13"/>
      <c r="K132" s="29"/>
      <c r="L132" s="29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ht="15.75" customHeight="1">
      <c r="A133" s="29"/>
      <c r="B133" s="14"/>
      <c r="C133" s="14"/>
      <c r="D133" s="14"/>
      <c r="E133" s="14"/>
      <c r="F133" s="14"/>
      <c r="G133" s="13"/>
      <c r="H133" s="13"/>
      <c r="I133" s="13"/>
      <c r="J133" s="13"/>
      <c r="K133" s="29"/>
      <c r="L133" s="29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ht="15.75" customHeight="1">
      <c r="A134" s="29"/>
      <c r="B134" s="14"/>
      <c r="C134" s="14"/>
      <c r="D134" s="14"/>
      <c r="E134" s="14"/>
      <c r="F134" s="14"/>
      <c r="G134" s="13"/>
      <c r="H134" s="13"/>
      <c r="I134" s="13"/>
      <c r="J134" s="13"/>
      <c r="K134" s="29"/>
      <c r="L134" s="29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ht="15.75" customHeight="1">
      <c r="A135" s="29"/>
      <c r="B135" s="14"/>
      <c r="C135" s="14"/>
      <c r="D135" s="14"/>
      <c r="E135" s="14"/>
      <c r="F135" s="14"/>
      <c r="G135" s="13"/>
      <c r="H135" s="13"/>
      <c r="I135" s="13"/>
      <c r="J135" s="13"/>
      <c r="K135" s="29"/>
      <c r="L135" s="29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ht="15.75" customHeight="1">
      <c r="A136" s="29"/>
      <c r="B136" s="14"/>
      <c r="C136" s="14"/>
      <c r="D136" s="14"/>
      <c r="E136" s="14"/>
      <c r="F136" s="14"/>
      <c r="G136" s="13"/>
      <c r="H136" s="13"/>
      <c r="I136" s="13"/>
      <c r="J136" s="13"/>
      <c r="K136" s="29"/>
      <c r="L136" s="29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ht="15.75" customHeight="1">
      <c r="A137" s="29"/>
      <c r="B137" s="14"/>
      <c r="C137" s="14"/>
      <c r="D137" s="14"/>
      <c r="E137" s="14"/>
      <c r="F137" s="14"/>
      <c r="G137" s="13"/>
      <c r="H137" s="13"/>
      <c r="I137" s="13"/>
      <c r="J137" s="13"/>
      <c r="K137" s="29"/>
      <c r="L137" s="29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ht="15.75" customHeight="1">
      <c r="A138" s="29"/>
      <c r="B138" s="14"/>
      <c r="C138" s="14"/>
      <c r="D138" s="14"/>
      <c r="E138" s="14"/>
      <c r="F138" s="14"/>
      <c r="G138" s="13"/>
      <c r="H138" s="13"/>
      <c r="I138" s="13"/>
      <c r="J138" s="13"/>
      <c r="K138" s="29"/>
      <c r="L138" s="29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ht="15.75" customHeight="1">
      <c r="A139" s="29"/>
      <c r="B139" s="14"/>
      <c r="C139" s="14"/>
      <c r="D139" s="14"/>
      <c r="E139" s="14"/>
      <c r="F139" s="14"/>
      <c r="G139" s="13"/>
      <c r="H139" s="13"/>
      <c r="I139" s="13"/>
      <c r="J139" s="13"/>
      <c r="K139" s="29"/>
      <c r="L139" s="29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ht="15.75" customHeight="1">
      <c r="A140" s="29"/>
      <c r="B140" s="14"/>
      <c r="C140" s="14"/>
      <c r="D140" s="14"/>
      <c r="E140" s="14"/>
      <c r="F140" s="14"/>
      <c r="G140" s="13"/>
      <c r="H140" s="13"/>
      <c r="I140" s="13"/>
      <c r="J140" s="13"/>
      <c r="K140" s="29"/>
      <c r="L140" s="29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ht="15.75" customHeight="1">
      <c r="A141" s="29"/>
      <c r="B141" s="14"/>
      <c r="C141" s="14"/>
      <c r="D141" s="14"/>
      <c r="E141" s="14"/>
      <c r="F141" s="14"/>
      <c r="G141" s="13"/>
      <c r="H141" s="13"/>
      <c r="I141" s="13"/>
      <c r="J141" s="13"/>
      <c r="K141" s="29"/>
      <c r="L141" s="29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ht="15.75" customHeight="1">
      <c r="A142" s="29"/>
      <c r="B142" s="14"/>
      <c r="C142" s="14"/>
      <c r="D142" s="14"/>
      <c r="E142" s="14"/>
      <c r="F142" s="14"/>
      <c r="G142" s="13"/>
      <c r="H142" s="13"/>
      <c r="I142" s="13"/>
      <c r="J142" s="13"/>
      <c r="K142" s="29"/>
      <c r="L142" s="29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ht="15.75" customHeight="1">
      <c r="A143" s="29"/>
      <c r="B143" s="14"/>
      <c r="C143" s="14"/>
      <c r="D143" s="14"/>
      <c r="E143" s="14"/>
      <c r="F143" s="14"/>
      <c r="G143" s="13"/>
      <c r="H143" s="13"/>
      <c r="I143" s="13"/>
      <c r="J143" s="13"/>
      <c r="K143" s="29"/>
      <c r="L143" s="29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ht="15.75" customHeight="1">
      <c r="A144" s="29"/>
      <c r="B144" s="14"/>
      <c r="C144" s="14"/>
      <c r="D144" s="14"/>
      <c r="E144" s="14"/>
      <c r="F144" s="14"/>
      <c r="G144" s="13"/>
      <c r="H144" s="13"/>
      <c r="I144" s="13"/>
      <c r="J144" s="13"/>
      <c r="K144" s="29"/>
      <c r="L144" s="29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ht="15.75" customHeight="1">
      <c r="A145" s="29"/>
      <c r="B145" s="14"/>
      <c r="C145" s="14"/>
      <c r="D145" s="14"/>
      <c r="E145" s="14"/>
      <c r="F145" s="14"/>
      <c r="G145" s="13"/>
      <c r="H145" s="13"/>
      <c r="I145" s="13"/>
      <c r="J145" s="13"/>
      <c r="K145" s="29"/>
      <c r="L145" s="29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ht="15.75" customHeight="1">
      <c r="A146" s="29"/>
      <c r="B146" s="14"/>
      <c r="C146" s="14"/>
      <c r="D146" s="14"/>
      <c r="E146" s="14"/>
      <c r="F146" s="14"/>
      <c r="G146" s="13"/>
      <c r="H146" s="13"/>
      <c r="I146" s="13"/>
      <c r="J146" s="13"/>
      <c r="K146" s="29"/>
      <c r="L146" s="29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ht="15.75" customHeight="1">
      <c r="A147" s="29"/>
      <c r="B147" s="14"/>
      <c r="C147" s="14"/>
      <c r="D147" s="14"/>
      <c r="E147" s="14"/>
      <c r="F147" s="14"/>
      <c r="G147" s="13"/>
      <c r="H147" s="13"/>
      <c r="I147" s="13"/>
      <c r="J147" s="13"/>
      <c r="K147" s="29"/>
      <c r="L147" s="29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ht="15.75" customHeight="1">
      <c r="A148" s="29"/>
      <c r="B148" s="14"/>
      <c r="C148" s="14"/>
      <c r="D148" s="14"/>
      <c r="E148" s="14"/>
      <c r="F148" s="14"/>
      <c r="G148" s="13"/>
      <c r="H148" s="13"/>
      <c r="I148" s="13"/>
      <c r="J148" s="13"/>
      <c r="K148" s="29"/>
      <c r="L148" s="29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ht="15.75" customHeight="1">
      <c r="A149" s="29"/>
      <c r="B149" s="14"/>
      <c r="C149" s="14"/>
      <c r="D149" s="14"/>
      <c r="E149" s="14"/>
      <c r="F149" s="14"/>
      <c r="G149" s="13"/>
      <c r="H149" s="13"/>
      <c r="I149" s="13"/>
      <c r="J149" s="13"/>
      <c r="K149" s="29"/>
      <c r="L149" s="29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ht="15.75" customHeight="1">
      <c r="A150" s="29"/>
      <c r="B150" s="14"/>
      <c r="C150" s="14"/>
      <c r="D150" s="14"/>
      <c r="E150" s="14"/>
      <c r="F150" s="14"/>
      <c r="G150" s="13"/>
      <c r="H150" s="13"/>
      <c r="I150" s="13"/>
      <c r="J150" s="13"/>
      <c r="K150" s="29"/>
      <c r="L150" s="29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ht="15.75" customHeight="1">
      <c r="A151" s="29"/>
      <c r="B151" s="14"/>
      <c r="C151" s="14"/>
      <c r="D151" s="14"/>
      <c r="E151" s="14"/>
      <c r="F151" s="14"/>
      <c r="G151" s="13"/>
      <c r="H151" s="13"/>
      <c r="I151" s="13"/>
      <c r="J151" s="13"/>
      <c r="K151" s="29"/>
      <c r="L151" s="29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ht="15.75" customHeight="1">
      <c r="A152" s="29"/>
      <c r="B152" s="14"/>
      <c r="C152" s="14"/>
      <c r="D152" s="14"/>
      <c r="E152" s="14"/>
      <c r="F152" s="14"/>
      <c r="G152" s="13"/>
      <c r="H152" s="13"/>
      <c r="I152" s="13"/>
      <c r="J152" s="13"/>
      <c r="K152" s="29"/>
      <c r="L152" s="29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ht="15.75" customHeight="1">
      <c r="A153" s="29"/>
      <c r="B153" s="14"/>
      <c r="C153" s="14"/>
      <c r="D153" s="14"/>
      <c r="E153" s="14"/>
      <c r="F153" s="14"/>
      <c r="G153" s="13"/>
      <c r="H153" s="13"/>
      <c r="I153" s="13"/>
      <c r="J153" s="13"/>
      <c r="K153" s="29"/>
      <c r="L153" s="29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ht="15.75" customHeight="1">
      <c r="A154" s="29"/>
      <c r="B154" s="14"/>
      <c r="C154" s="14"/>
      <c r="D154" s="14"/>
      <c r="E154" s="14"/>
      <c r="F154" s="14"/>
      <c r="G154" s="13"/>
      <c r="H154" s="13"/>
      <c r="I154" s="13"/>
      <c r="J154" s="13"/>
      <c r="K154" s="29"/>
      <c r="L154" s="29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ht="15.75" customHeight="1">
      <c r="A155" s="29"/>
      <c r="B155" s="14"/>
      <c r="C155" s="14"/>
      <c r="D155" s="14"/>
      <c r="E155" s="14"/>
      <c r="F155" s="14"/>
      <c r="G155" s="13"/>
      <c r="H155" s="13"/>
      <c r="I155" s="13"/>
      <c r="J155" s="13"/>
      <c r="K155" s="29"/>
      <c r="L155" s="29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ht="15.75" customHeight="1">
      <c r="A156" s="29"/>
      <c r="B156" s="14"/>
      <c r="C156" s="14"/>
      <c r="D156" s="14"/>
      <c r="E156" s="14"/>
      <c r="F156" s="14"/>
      <c r="G156" s="13"/>
      <c r="H156" s="13"/>
      <c r="I156" s="13"/>
      <c r="J156" s="13"/>
      <c r="K156" s="29"/>
      <c r="L156" s="29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ht="15.75" customHeight="1">
      <c r="A157" s="29"/>
      <c r="B157" s="14"/>
      <c r="C157" s="14"/>
      <c r="D157" s="14"/>
      <c r="E157" s="14"/>
      <c r="F157" s="14"/>
      <c r="G157" s="13"/>
      <c r="H157" s="13"/>
      <c r="I157" s="13"/>
      <c r="J157" s="13"/>
      <c r="K157" s="29"/>
      <c r="L157" s="29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ht="15.75" customHeight="1">
      <c r="A158" s="29"/>
      <c r="B158" s="14"/>
      <c r="C158" s="14"/>
      <c r="D158" s="14"/>
      <c r="E158" s="14"/>
      <c r="F158" s="14"/>
      <c r="G158" s="13"/>
      <c r="H158" s="13"/>
      <c r="I158" s="13"/>
      <c r="J158" s="13"/>
      <c r="K158" s="29"/>
      <c r="L158" s="29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ht="15.75" customHeight="1">
      <c r="A159" s="29"/>
      <c r="B159" s="14"/>
      <c r="C159" s="14"/>
      <c r="D159" s="14"/>
      <c r="E159" s="14"/>
      <c r="F159" s="14"/>
      <c r="G159" s="13"/>
      <c r="H159" s="13"/>
      <c r="I159" s="13"/>
      <c r="J159" s="13"/>
      <c r="K159" s="29"/>
      <c r="L159" s="29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ht="15.75" customHeight="1">
      <c r="A160" s="29"/>
      <c r="B160" s="14"/>
      <c r="C160" s="14"/>
      <c r="D160" s="14"/>
      <c r="E160" s="14"/>
      <c r="F160" s="14"/>
      <c r="G160" s="13"/>
      <c r="H160" s="13"/>
      <c r="I160" s="13"/>
      <c r="J160" s="13"/>
      <c r="K160" s="29"/>
      <c r="L160" s="29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ht="15.75" customHeight="1">
      <c r="A161" s="29"/>
      <c r="B161" s="14"/>
      <c r="C161" s="14"/>
      <c r="D161" s="14"/>
      <c r="E161" s="14"/>
      <c r="F161" s="14"/>
      <c r="G161" s="13"/>
      <c r="H161" s="13"/>
      <c r="I161" s="13"/>
      <c r="J161" s="13"/>
      <c r="K161" s="29"/>
      <c r="L161" s="29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ht="15.75" customHeight="1">
      <c r="A162" s="29"/>
      <c r="B162" s="14"/>
      <c r="C162" s="14"/>
      <c r="D162" s="14"/>
      <c r="E162" s="14"/>
      <c r="F162" s="14"/>
      <c r="G162" s="13"/>
      <c r="H162" s="13"/>
      <c r="I162" s="13"/>
      <c r="J162" s="13"/>
      <c r="K162" s="29"/>
      <c r="L162" s="29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ht="15.75" customHeight="1">
      <c r="A163" s="29"/>
      <c r="B163" s="14"/>
      <c r="C163" s="14"/>
      <c r="D163" s="14"/>
      <c r="E163" s="14"/>
      <c r="F163" s="14"/>
      <c r="G163" s="13"/>
      <c r="H163" s="13"/>
      <c r="I163" s="13"/>
      <c r="J163" s="13"/>
      <c r="K163" s="29"/>
      <c r="L163" s="29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ht="15.75" customHeight="1">
      <c r="A164" s="29"/>
      <c r="B164" s="14"/>
      <c r="C164" s="14"/>
      <c r="D164" s="14"/>
      <c r="E164" s="14"/>
      <c r="F164" s="14"/>
      <c r="G164" s="13"/>
      <c r="H164" s="13"/>
      <c r="I164" s="13"/>
      <c r="J164" s="13"/>
      <c r="K164" s="29"/>
      <c r="L164" s="29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ht="15.75" customHeight="1">
      <c r="A165" s="29"/>
      <c r="B165" s="14"/>
      <c r="C165" s="14"/>
      <c r="D165" s="14"/>
      <c r="E165" s="14"/>
      <c r="F165" s="14"/>
      <c r="G165" s="13"/>
      <c r="H165" s="13"/>
      <c r="I165" s="13"/>
      <c r="J165" s="13"/>
      <c r="K165" s="29"/>
      <c r="L165" s="29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ht="15.75" customHeight="1">
      <c r="A166" s="29"/>
      <c r="B166" s="14"/>
      <c r="C166" s="14"/>
      <c r="D166" s="14"/>
      <c r="E166" s="14"/>
      <c r="F166" s="14"/>
      <c r="G166" s="13"/>
      <c r="H166" s="13"/>
      <c r="I166" s="13"/>
      <c r="J166" s="13"/>
      <c r="K166" s="29"/>
      <c r="L166" s="29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ht="15.75" customHeight="1">
      <c r="A167" s="29"/>
      <c r="B167" s="14"/>
      <c r="C167" s="14"/>
      <c r="D167" s="14"/>
      <c r="E167" s="14"/>
      <c r="F167" s="14"/>
      <c r="G167" s="13"/>
      <c r="H167" s="13"/>
      <c r="I167" s="13"/>
      <c r="J167" s="13"/>
      <c r="K167" s="29"/>
      <c r="L167" s="29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ht="15.75" customHeight="1">
      <c r="A168" s="29"/>
      <c r="B168" s="14"/>
      <c r="C168" s="14"/>
      <c r="D168" s="14"/>
      <c r="E168" s="14"/>
      <c r="F168" s="14"/>
      <c r="G168" s="13"/>
      <c r="H168" s="13"/>
      <c r="I168" s="13"/>
      <c r="J168" s="13"/>
      <c r="K168" s="29"/>
      <c r="L168" s="29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ht="15.75" customHeight="1">
      <c r="A169" s="29"/>
      <c r="B169" s="14"/>
      <c r="C169" s="14"/>
      <c r="D169" s="14"/>
      <c r="E169" s="14"/>
      <c r="F169" s="14"/>
      <c r="G169" s="13"/>
      <c r="H169" s="13"/>
      <c r="I169" s="13"/>
      <c r="J169" s="13"/>
      <c r="K169" s="29"/>
      <c r="L169" s="29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ht="15.75" customHeight="1">
      <c r="A170" s="29"/>
      <c r="B170" s="14"/>
      <c r="C170" s="14"/>
      <c r="D170" s="14"/>
      <c r="E170" s="14"/>
      <c r="F170" s="14"/>
      <c r="G170" s="13"/>
      <c r="H170" s="13"/>
      <c r="I170" s="13"/>
      <c r="J170" s="13"/>
      <c r="K170" s="29"/>
      <c r="L170" s="29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ht="15.75" customHeight="1">
      <c r="A171" s="29"/>
      <c r="B171" s="14"/>
      <c r="C171" s="14"/>
      <c r="D171" s="14"/>
      <c r="E171" s="14"/>
      <c r="F171" s="14"/>
      <c r="G171" s="13"/>
      <c r="H171" s="13"/>
      <c r="I171" s="13"/>
      <c r="J171" s="13"/>
      <c r="K171" s="29"/>
      <c r="L171" s="29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ht="15.75" customHeight="1">
      <c r="A172" s="29"/>
      <c r="B172" s="14"/>
      <c r="C172" s="14"/>
      <c r="D172" s="14"/>
      <c r="E172" s="14"/>
      <c r="F172" s="14"/>
      <c r="G172" s="13"/>
      <c r="H172" s="13"/>
      <c r="I172" s="13"/>
      <c r="J172" s="13"/>
      <c r="K172" s="29"/>
      <c r="L172" s="29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ht="15.75" customHeight="1">
      <c r="A173" s="29"/>
      <c r="B173" s="14"/>
      <c r="C173" s="14"/>
      <c r="D173" s="14"/>
      <c r="E173" s="14"/>
      <c r="F173" s="14"/>
      <c r="G173" s="13"/>
      <c r="H173" s="13"/>
      <c r="I173" s="13"/>
      <c r="J173" s="13"/>
      <c r="K173" s="29"/>
      <c r="L173" s="29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ht="15.75" customHeight="1">
      <c r="A174" s="29"/>
      <c r="B174" s="14"/>
      <c r="C174" s="14"/>
      <c r="D174" s="14"/>
      <c r="E174" s="14"/>
      <c r="F174" s="14"/>
      <c r="G174" s="13"/>
      <c r="H174" s="13"/>
      <c r="I174" s="13"/>
      <c r="J174" s="13"/>
      <c r="K174" s="29"/>
      <c r="L174" s="29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ht="15.75" customHeight="1">
      <c r="A175" s="29"/>
      <c r="B175" s="14"/>
      <c r="C175" s="14"/>
      <c r="D175" s="14"/>
      <c r="E175" s="14"/>
      <c r="F175" s="14"/>
      <c r="G175" s="13"/>
      <c r="H175" s="13"/>
      <c r="I175" s="13"/>
      <c r="J175" s="13"/>
      <c r="K175" s="29"/>
      <c r="L175" s="29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ht="15.75" customHeight="1">
      <c r="A176" s="29"/>
      <c r="B176" s="14"/>
      <c r="C176" s="14"/>
      <c r="D176" s="14"/>
      <c r="E176" s="14"/>
      <c r="F176" s="14"/>
      <c r="G176" s="13"/>
      <c r="H176" s="13"/>
      <c r="I176" s="13"/>
      <c r="J176" s="13"/>
      <c r="K176" s="29"/>
      <c r="L176" s="29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ht="15.75" customHeight="1">
      <c r="A177" s="29"/>
      <c r="B177" s="14"/>
      <c r="C177" s="14"/>
      <c r="D177" s="14"/>
      <c r="E177" s="14"/>
      <c r="F177" s="14"/>
      <c r="G177" s="13"/>
      <c r="H177" s="13"/>
      <c r="I177" s="13"/>
      <c r="J177" s="13"/>
      <c r="K177" s="29"/>
      <c r="L177" s="29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ht="15.75" customHeight="1">
      <c r="A178" s="29"/>
      <c r="B178" s="14"/>
      <c r="C178" s="14"/>
      <c r="D178" s="14"/>
      <c r="E178" s="14"/>
      <c r="F178" s="14"/>
      <c r="G178" s="13"/>
      <c r="H178" s="13"/>
      <c r="I178" s="13"/>
      <c r="J178" s="13"/>
      <c r="K178" s="29"/>
      <c r="L178" s="29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ht="15.75" customHeight="1">
      <c r="A179" s="29"/>
      <c r="B179" s="14"/>
      <c r="C179" s="14"/>
      <c r="D179" s="14"/>
      <c r="E179" s="14"/>
      <c r="F179" s="14"/>
      <c r="G179" s="13"/>
      <c r="H179" s="13"/>
      <c r="I179" s="13"/>
      <c r="J179" s="13"/>
      <c r="K179" s="29"/>
      <c r="L179" s="29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ht="15.75" customHeight="1">
      <c r="A180" s="29"/>
      <c r="B180" s="14"/>
      <c r="C180" s="14"/>
      <c r="D180" s="14"/>
      <c r="E180" s="14"/>
      <c r="F180" s="14"/>
      <c r="G180" s="13"/>
      <c r="H180" s="13"/>
      <c r="I180" s="13"/>
      <c r="J180" s="13"/>
      <c r="K180" s="29"/>
      <c r="L180" s="29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ht="15.75" customHeight="1">
      <c r="A181" s="29"/>
      <c r="B181" s="14"/>
      <c r="C181" s="14"/>
      <c r="D181" s="14"/>
      <c r="E181" s="14"/>
      <c r="F181" s="14"/>
      <c r="G181" s="13"/>
      <c r="H181" s="13"/>
      <c r="I181" s="13"/>
      <c r="J181" s="13"/>
      <c r="K181" s="29"/>
      <c r="L181" s="29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ht="15.75" customHeight="1">
      <c r="A182" s="29"/>
      <c r="B182" s="14"/>
      <c r="C182" s="14"/>
      <c r="D182" s="14"/>
      <c r="E182" s="14"/>
      <c r="F182" s="14"/>
      <c r="G182" s="13"/>
      <c r="H182" s="13"/>
      <c r="I182" s="13"/>
      <c r="J182" s="13"/>
      <c r="K182" s="29"/>
      <c r="L182" s="29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ht="15.75" customHeight="1">
      <c r="A183" s="29"/>
      <c r="B183" s="14"/>
      <c r="C183" s="14"/>
      <c r="D183" s="14"/>
      <c r="E183" s="14"/>
      <c r="F183" s="14"/>
      <c r="G183" s="13"/>
      <c r="H183" s="13"/>
      <c r="I183" s="13"/>
      <c r="J183" s="13"/>
      <c r="K183" s="29"/>
      <c r="L183" s="29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ht="15.75" customHeight="1">
      <c r="A184" s="29"/>
      <c r="B184" s="14"/>
      <c r="C184" s="14"/>
      <c r="D184" s="14"/>
      <c r="E184" s="14"/>
      <c r="F184" s="14"/>
      <c r="G184" s="13"/>
      <c r="H184" s="13"/>
      <c r="I184" s="13"/>
      <c r="J184" s="13"/>
      <c r="K184" s="29"/>
      <c r="L184" s="29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ht="15.75" customHeight="1">
      <c r="A185" s="29"/>
      <c r="B185" s="14"/>
      <c r="C185" s="14"/>
      <c r="D185" s="14"/>
      <c r="E185" s="14"/>
      <c r="F185" s="14"/>
      <c r="G185" s="13"/>
      <c r="H185" s="13"/>
      <c r="I185" s="13"/>
      <c r="J185" s="13"/>
      <c r="K185" s="29"/>
      <c r="L185" s="29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ht="15.75" customHeight="1">
      <c r="A186" s="29"/>
      <c r="B186" s="14"/>
      <c r="C186" s="14"/>
      <c r="D186" s="14"/>
      <c r="E186" s="14"/>
      <c r="F186" s="14"/>
      <c r="G186" s="13"/>
      <c r="H186" s="13"/>
      <c r="I186" s="13"/>
      <c r="J186" s="13"/>
      <c r="K186" s="29"/>
      <c r="L186" s="29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ht="15.75" customHeight="1">
      <c r="A187" s="29"/>
      <c r="B187" s="14"/>
      <c r="C187" s="14"/>
      <c r="D187" s="14"/>
      <c r="E187" s="14"/>
      <c r="F187" s="14"/>
      <c r="G187" s="13"/>
      <c r="H187" s="13"/>
      <c r="I187" s="13"/>
      <c r="J187" s="13"/>
      <c r="K187" s="29"/>
      <c r="L187" s="29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ht="15.75" customHeight="1">
      <c r="A188" s="29"/>
      <c r="B188" s="14"/>
      <c r="C188" s="14"/>
      <c r="D188" s="14"/>
      <c r="E188" s="14"/>
      <c r="F188" s="14"/>
      <c r="G188" s="13"/>
      <c r="H188" s="13"/>
      <c r="I188" s="13"/>
      <c r="J188" s="13"/>
      <c r="K188" s="29"/>
      <c r="L188" s="29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ht="15.75" customHeight="1">
      <c r="A189" s="29"/>
      <c r="B189" s="14"/>
      <c r="C189" s="14"/>
      <c r="D189" s="14"/>
      <c r="E189" s="14"/>
      <c r="F189" s="14"/>
      <c r="G189" s="13"/>
      <c r="H189" s="13"/>
      <c r="I189" s="13"/>
      <c r="J189" s="13"/>
      <c r="K189" s="29"/>
      <c r="L189" s="29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ht="15.75" customHeight="1">
      <c r="A190" s="29"/>
      <c r="B190" s="14"/>
      <c r="C190" s="14"/>
      <c r="D190" s="14"/>
      <c r="E190" s="14"/>
      <c r="F190" s="14"/>
      <c r="G190" s="13"/>
      <c r="H190" s="13"/>
      <c r="I190" s="13"/>
      <c r="J190" s="13"/>
      <c r="K190" s="29"/>
      <c r="L190" s="29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ht="15.75" customHeight="1">
      <c r="A191" s="29"/>
      <c r="B191" s="14"/>
      <c r="C191" s="14"/>
      <c r="D191" s="14"/>
      <c r="E191" s="14"/>
      <c r="F191" s="14"/>
      <c r="G191" s="13"/>
      <c r="H191" s="13"/>
      <c r="I191" s="13"/>
      <c r="J191" s="13"/>
      <c r="K191" s="29"/>
      <c r="L191" s="29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ht="15.75" customHeight="1">
      <c r="A192" s="29"/>
      <c r="B192" s="14"/>
      <c r="C192" s="14"/>
      <c r="D192" s="14"/>
      <c r="E192" s="14"/>
      <c r="F192" s="14"/>
      <c r="G192" s="13"/>
      <c r="H192" s="13"/>
      <c r="I192" s="13"/>
      <c r="J192" s="13"/>
      <c r="K192" s="29"/>
      <c r="L192" s="29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ht="15.75" customHeight="1">
      <c r="A193" s="29"/>
      <c r="B193" s="14"/>
      <c r="C193" s="14"/>
      <c r="D193" s="14"/>
      <c r="E193" s="14"/>
      <c r="F193" s="14"/>
      <c r="G193" s="13"/>
      <c r="H193" s="13"/>
      <c r="I193" s="13"/>
      <c r="J193" s="13"/>
      <c r="K193" s="29"/>
      <c r="L193" s="29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ht="15.75" customHeight="1">
      <c r="A194" s="29"/>
      <c r="B194" s="14"/>
      <c r="C194" s="14"/>
      <c r="D194" s="14"/>
      <c r="E194" s="14"/>
      <c r="F194" s="14"/>
      <c r="G194" s="13"/>
      <c r="H194" s="13"/>
      <c r="I194" s="13"/>
      <c r="J194" s="13"/>
      <c r="K194" s="29"/>
      <c r="L194" s="29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ht="15.75" customHeight="1">
      <c r="A195" s="29"/>
      <c r="B195" s="14"/>
      <c r="C195" s="14"/>
      <c r="D195" s="14"/>
      <c r="E195" s="14"/>
      <c r="F195" s="14"/>
      <c r="G195" s="13"/>
      <c r="H195" s="13"/>
      <c r="I195" s="13"/>
      <c r="J195" s="13"/>
      <c r="K195" s="29"/>
      <c r="L195" s="29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ht="15.75" customHeight="1">
      <c r="A196" s="29"/>
      <c r="B196" s="14"/>
      <c r="C196" s="14"/>
      <c r="D196" s="14"/>
      <c r="E196" s="14"/>
      <c r="F196" s="14"/>
      <c r="G196" s="13"/>
      <c r="H196" s="13"/>
      <c r="I196" s="13"/>
      <c r="J196" s="13"/>
      <c r="K196" s="29"/>
      <c r="L196" s="29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ht="15.75" customHeight="1">
      <c r="A197" s="29"/>
      <c r="B197" s="14"/>
      <c r="C197" s="14"/>
      <c r="D197" s="14"/>
      <c r="E197" s="14"/>
      <c r="F197" s="14"/>
      <c r="G197" s="13"/>
      <c r="H197" s="13"/>
      <c r="I197" s="13"/>
      <c r="J197" s="13"/>
      <c r="K197" s="29"/>
      <c r="L197" s="29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ht="15.75" customHeight="1">
      <c r="A198" s="29"/>
      <c r="B198" s="14"/>
      <c r="C198" s="14"/>
      <c r="D198" s="14"/>
      <c r="E198" s="14"/>
      <c r="F198" s="14"/>
      <c r="G198" s="13"/>
      <c r="H198" s="13"/>
      <c r="I198" s="13"/>
      <c r="J198" s="13"/>
      <c r="K198" s="29"/>
      <c r="L198" s="29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ht="15.75" customHeight="1">
      <c r="A199" s="29"/>
      <c r="B199" s="14"/>
      <c r="C199" s="14"/>
      <c r="D199" s="14"/>
      <c r="E199" s="14"/>
      <c r="F199" s="14"/>
      <c r="G199" s="13"/>
      <c r="H199" s="13"/>
      <c r="I199" s="13"/>
      <c r="J199" s="13"/>
      <c r="K199" s="29"/>
      <c r="L199" s="29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ht="15.75" customHeight="1">
      <c r="A200" s="29"/>
      <c r="B200" s="14"/>
      <c r="C200" s="14"/>
      <c r="D200" s="14"/>
      <c r="E200" s="14"/>
      <c r="F200" s="14"/>
      <c r="G200" s="13"/>
      <c r="H200" s="13"/>
      <c r="I200" s="13"/>
      <c r="J200" s="13"/>
      <c r="K200" s="29"/>
      <c r="L200" s="29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ht="15.75" customHeight="1">
      <c r="A201" s="29"/>
      <c r="B201" s="14"/>
      <c r="C201" s="14"/>
      <c r="D201" s="14"/>
      <c r="E201" s="14"/>
      <c r="F201" s="14"/>
      <c r="G201" s="13"/>
      <c r="H201" s="13"/>
      <c r="I201" s="13"/>
      <c r="J201" s="13"/>
      <c r="K201" s="29"/>
      <c r="L201" s="29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ht="15.75" customHeight="1">
      <c r="A202" s="29"/>
      <c r="B202" s="14"/>
      <c r="C202" s="14"/>
      <c r="D202" s="14"/>
      <c r="E202" s="14"/>
      <c r="F202" s="14"/>
      <c r="G202" s="13"/>
      <c r="H202" s="13"/>
      <c r="I202" s="13"/>
      <c r="J202" s="13"/>
      <c r="K202" s="29"/>
      <c r="L202" s="29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ht="15.75" customHeight="1">
      <c r="A203" s="29"/>
      <c r="B203" s="14"/>
      <c r="C203" s="14"/>
      <c r="D203" s="14"/>
      <c r="E203" s="14"/>
      <c r="F203" s="14"/>
      <c r="G203" s="13"/>
      <c r="H203" s="13"/>
      <c r="I203" s="13"/>
      <c r="J203" s="13"/>
      <c r="K203" s="29"/>
      <c r="L203" s="29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ht="15.75" customHeight="1">
      <c r="A204" s="29"/>
      <c r="B204" s="14"/>
      <c r="C204" s="14"/>
      <c r="D204" s="14"/>
      <c r="E204" s="14"/>
      <c r="F204" s="14"/>
      <c r="G204" s="13"/>
      <c r="H204" s="13"/>
      <c r="I204" s="13"/>
      <c r="J204" s="13"/>
      <c r="K204" s="29"/>
      <c r="L204" s="29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ht="15.75" customHeight="1">
      <c r="A205" s="29"/>
      <c r="B205" s="14"/>
      <c r="C205" s="14"/>
      <c r="D205" s="14"/>
      <c r="E205" s="14"/>
      <c r="F205" s="14"/>
      <c r="G205" s="13"/>
      <c r="H205" s="13"/>
      <c r="I205" s="13"/>
      <c r="J205" s="13"/>
      <c r="K205" s="29"/>
      <c r="L205" s="29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ht="15.75" customHeight="1">
      <c r="A206" s="29"/>
      <c r="B206" s="14"/>
      <c r="C206" s="14"/>
      <c r="D206" s="14"/>
      <c r="E206" s="14"/>
      <c r="F206" s="14"/>
      <c r="G206" s="13"/>
      <c r="H206" s="13"/>
      <c r="I206" s="13"/>
      <c r="J206" s="13"/>
      <c r="K206" s="29"/>
      <c r="L206" s="29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ht="15.75" customHeight="1">
      <c r="A207" s="29"/>
      <c r="B207" s="14"/>
      <c r="C207" s="14"/>
      <c r="D207" s="14"/>
      <c r="E207" s="14"/>
      <c r="F207" s="14"/>
      <c r="G207" s="13"/>
      <c r="H207" s="13"/>
      <c r="I207" s="13"/>
      <c r="J207" s="13"/>
      <c r="K207" s="29"/>
      <c r="L207" s="29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ht="15.75" customHeight="1">
      <c r="A208" s="29"/>
      <c r="B208" s="14"/>
      <c r="C208" s="14"/>
      <c r="D208" s="14"/>
      <c r="E208" s="14"/>
      <c r="F208" s="14"/>
      <c r="G208" s="13"/>
      <c r="H208" s="13"/>
      <c r="I208" s="13"/>
      <c r="J208" s="13"/>
      <c r="K208" s="29"/>
      <c r="L208" s="29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ht="15.75" customHeight="1">
      <c r="A209" s="29"/>
      <c r="B209" s="14"/>
      <c r="C209" s="14"/>
      <c r="D209" s="14"/>
      <c r="E209" s="14"/>
      <c r="F209" s="14"/>
      <c r="G209" s="13"/>
      <c r="H209" s="13"/>
      <c r="I209" s="13"/>
      <c r="J209" s="13"/>
      <c r="K209" s="29"/>
      <c r="L209" s="29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ht="15.75" customHeight="1">
      <c r="A210" s="29"/>
      <c r="B210" s="14"/>
      <c r="C210" s="14"/>
      <c r="D210" s="14"/>
      <c r="E210" s="14"/>
      <c r="F210" s="14"/>
      <c r="G210" s="13"/>
      <c r="H210" s="13"/>
      <c r="I210" s="13"/>
      <c r="J210" s="13"/>
      <c r="K210" s="29"/>
      <c r="L210" s="29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ht="15.75" customHeight="1">
      <c r="A211" s="29"/>
      <c r="B211" s="14"/>
      <c r="C211" s="14"/>
      <c r="D211" s="14"/>
      <c r="E211" s="14"/>
      <c r="F211" s="14"/>
      <c r="G211" s="13"/>
      <c r="H211" s="13"/>
      <c r="I211" s="13"/>
      <c r="J211" s="13"/>
      <c r="K211" s="29"/>
      <c r="L211" s="29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ht="15.75" customHeight="1">
      <c r="A212" s="29"/>
      <c r="B212" s="14"/>
      <c r="C212" s="14"/>
      <c r="D212" s="14"/>
      <c r="E212" s="14"/>
      <c r="F212" s="14"/>
      <c r="G212" s="13"/>
      <c r="H212" s="13"/>
      <c r="I212" s="13"/>
      <c r="J212" s="13"/>
      <c r="K212" s="29"/>
      <c r="L212" s="29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ht="15.75" customHeight="1">
      <c r="A213" s="29"/>
      <c r="B213" s="14"/>
      <c r="C213" s="14"/>
      <c r="D213" s="14"/>
      <c r="E213" s="14"/>
      <c r="F213" s="14"/>
      <c r="G213" s="13"/>
      <c r="H213" s="13"/>
      <c r="I213" s="13"/>
      <c r="J213" s="13"/>
      <c r="K213" s="29"/>
      <c r="L213" s="29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ht="15.75" customHeight="1">
      <c r="A214" s="29"/>
      <c r="B214" s="14"/>
      <c r="C214" s="14"/>
      <c r="D214" s="14"/>
      <c r="E214" s="14"/>
      <c r="F214" s="14"/>
      <c r="G214" s="13"/>
      <c r="H214" s="13"/>
      <c r="I214" s="13"/>
      <c r="J214" s="13"/>
      <c r="K214" s="29"/>
      <c r="L214" s="29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ht="15.75" customHeight="1">
      <c r="A215" s="29"/>
      <c r="B215" s="14"/>
      <c r="C215" s="14"/>
      <c r="D215" s="14"/>
      <c r="E215" s="14"/>
      <c r="F215" s="14"/>
      <c r="G215" s="13"/>
      <c r="H215" s="13"/>
      <c r="I215" s="13"/>
      <c r="J215" s="13"/>
      <c r="K215" s="29"/>
      <c r="L215" s="29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ht="15.75" customHeight="1">
      <c r="A216" s="29"/>
      <c r="B216" s="14"/>
      <c r="C216" s="14"/>
      <c r="D216" s="14"/>
      <c r="E216" s="14"/>
      <c r="F216" s="14"/>
      <c r="G216" s="13"/>
      <c r="H216" s="13"/>
      <c r="I216" s="13"/>
      <c r="J216" s="13"/>
      <c r="K216" s="29"/>
      <c r="L216" s="29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ht="15.75" customHeight="1">
      <c r="A217" s="29"/>
      <c r="B217" s="14"/>
      <c r="C217" s="14"/>
      <c r="D217" s="14"/>
      <c r="E217" s="14"/>
      <c r="F217" s="14"/>
      <c r="G217" s="13"/>
      <c r="H217" s="13"/>
      <c r="I217" s="13"/>
      <c r="J217" s="13"/>
      <c r="K217" s="29"/>
      <c r="L217" s="29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ht="15.75" customHeight="1">
      <c r="A218" s="29"/>
      <c r="B218" s="14"/>
      <c r="C218" s="14"/>
      <c r="D218" s="14"/>
      <c r="E218" s="14"/>
      <c r="F218" s="14"/>
      <c r="G218" s="13"/>
      <c r="H218" s="13"/>
      <c r="I218" s="13"/>
      <c r="J218" s="13"/>
      <c r="K218" s="29"/>
      <c r="L218" s="29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ht="15.75" customHeight="1">
      <c r="A219" s="29"/>
      <c r="B219" s="14"/>
      <c r="C219" s="14"/>
      <c r="D219" s="14"/>
      <c r="E219" s="14"/>
      <c r="F219" s="14"/>
      <c r="G219" s="13"/>
      <c r="H219" s="13"/>
      <c r="I219" s="13"/>
      <c r="J219" s="13"/>
      <c r="K219" s="29"/>
      <c r="L219" s="29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ht="15.75" customHeight="1">
      <c r="A220" s="29"/>
      <c r="B220" s="14"/>
      <c r="C220" s="14"/>
      <c r="D220" s="14"/>
      <c r="E220" s="14"/>
      <c r="F220" s="14"/>
      <c r="G220" s="13"/>
      <c r="H220" s="13"/>
      <c r="I220" s="13"/>
      <c r="J220" s="13"/>
      <c r="K220" s="29"/>
      <c r="L220" s="29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0.75"/>
    <col customWidth="1" min="16" max="16" width="7.38"/>
    <col customWidth="1" min="17" max="17" width="10.88"/>
    <col customWidth="1" min="18" max="36" width="12.63"/>
  </cols>
  <sheetData>
    <row r="1">
      <c r="A1" s="1" t="s">
        <v>548</v>
      </c>
      <c r="B1" s="2" t="s">
        <v>549</v>
      </c>
      <c r="C1" s="2" t="s">
        <v>550</v>
      </c>
      <c r="D1" s="2" t="s">
        <v>551</v>
      </c>
      <c r="E1" s="2" t="s">
        <v>552</v>
      </c>
      <c r="F1" s="2" t="s">
        <v>553</v>
      </c>
      <c r="G1" s="29" t="s">
        <v>192</v>
      </c>
      <c r="H1" s="1" t="s">
        <v>554</v>
      </c>
      <c r="I1" s="1" t="s">
        <v>555</v>
      </c>
      <c r="J1" s="1" t="s">
        <v>556</v>
      </c>
      <c r="K1" s="29" t="s">
        <v>557</v>
      </c>
      <c r="L1" s="29" t="s">
        <v>558</v>
      </c>
      <c r="M1" s="29" t="s">
        <v>571</v>
      </c>
      <c r="N1" s="29" t="s">
        <v>572</v>
      </c>
      <c r="O1" s="29" t="s">
        <v>573</v>
      </c>
      <c r="P1" s="29" t="s">
        <v>574</v>
      </c>
      <c r="Q1" s="29" t="s">
        <v>575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38"/>
      <c r="AJ1" s="38"/>
    </row>
    <row r="2">
      <c r="A2" s="29" t="s">
        <v>576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9"/>
      <c r="L2" s="29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 t="str">
        <f t="shared" ref="P2:P4" si="1">JOIN(", ", 0, 0, 0)</f>
        <v>0, 0, 0</v>
      </c>
      <c r="Q2" s="13">
        <f>README!$J$2</f>
        <v>-1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4"/>
      <c r="AJ2" s="24"/>
    </row>
    <row r="3">
      <c r="A3" s="29" t="s">
        <v>577</v>
      </c>
      <c r="B3" s="14">
        <v>1.0</v>
      </c>
      <c r="C3" s="14">
        <v>0.0</v>
      </c>
      <c r="D3" s="14">
        <v>0.0</v>
      </c>
      <c r="E3" s="14">
        <v>0.0</v>
      </c>
      <c r="F3" s="14">
        <v>0.0</v>
      </c>
      <c r="G3" s="13">
        <v>0.0</v>
      </c>
      <c r="H3" s="13">
        <v>0.0</v>
      </c>
      <c r="I3" s="13">
        <v>0.0</v>
      </c>
      <c r="J3" s="13">
        <v>0.0</v>
      </c>
      <c r="K3" s="29"/>
      <c r="L3" s="29"/>
      <c r="M3" s="13">
        <f>IF($A3="", -1, ($B3*README!$B$2)+($C3*README!$B$3)+($D3*README!$B$4)+($E3*README!$B$5)+($F3*README!$B$6))</f>
        <v>100000000</v>
      </c>
      <c r="N3" s="13">
        <f>IF($A3="", -1, ($B3*README!$B$2)+($C3*README!$B$3)+($D3*README!$B$4)+($E3*README!$B$5)+($F3*README!$B$6)-1)</f>
        <v>99999999</v>
      </c>
      <c r="O3" s="13">
        <f>IF($A3="", -1, ($B3*README!$B$2)+($C3*README!$B$3)+($D3*README!$B$4)+($E3*README!$B$5)+($F3*README!$B$6)+1)</f>
        <v>100000001</v>
      </c>
      <c r="P3" s="13" t="str">
        <f t="shared" si="1"/>
        <v>0, 0, 0</v>
      </c>
      <c r="Q3" s="13">
        <f>README!$J$2</f>
        <v>-1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24"/>
      <c r="AJ3" s="24"/>
    </row>
    <row r="4">
      <c r="A4" s="29" t="s">
        <v>578</v>
      </c>
      <c r="B4" s="14">
        <v>2.0</v>
      </c>
      <c r="C4" s="14">
        <v>0.0</v>
      </c>
      <c r="D4" s="14">
        <v>0.0</v>
      </c>
      <c r="E4" s="14">
        <v>0.0</v>
      </c>
      <c r="F4" s="14">
        <v>0.0</v>
      </c>
      <c r="G4" s="13">
        <v>0.0</v>
      </c>
      <c r="H4" s="13">
        <v>0.0</v>
      </c>
      <c r="I4" s="13">
        <v>0.0</v>
      </c>
      <c r="J4" s="13">
        <v>0.0</v>
      </c>
      <c r="K4" s="29"/>
      <c r="L4" s="29"/>
      <c r="M4" s="13">
        <f>IF($A4="", -1, ($B4*README!$B$2)+($C4*README!$B$3)+($D4*README!$B$4)+($E4*README!$B$5)+($F4*README!$B$6))</f>
        <v>200000000</v>
      </c>
      <c r="N4" s="13">
        <f>IF($A4="", -1, ($B4*README!$B$2)+($C4*README!$B$3)+($D4*README!$B$4)+($E4*README!$B$5)+($F4*README!$B$6)-1)</f>
        <v>199999999</v>
      </c>
      <c r="O4" s="13">
        <f>IF($A4="", -1, ($B4*README!$B$2)+($C4*README!$B$3)+($D4*README!$B$4)+($E4*README!$B$5)+($F4*README!$B$6)+1)</f>
        <v>200000001</v>
      </c>
      <c r="P4" s="13" t="str">
        <f t="shared" si="1"/>
        <v>0, 0, 0</v>
      </c>
      <c r="Q4" s="13">
        <f>README!$J$2</f>
        <v>-1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24"/>
      <c r="AI4" s="24"/>
      <c r="AJ4" s="24"/>
    </row>
    <row r="5">
      <c r="A5" s="29"/>
      <c r="B5" s="14"/>
      <c r="C5" s="14"/>
      <c r="D5" s="14"/>
      <c r="E5" s="14"/>
      <c r="F5" s="14"/>
      <c r="G5" s="13"/>
      <c r="H5" s="13"/>
      <c r="I5" s="13"/>
      <c r="J5" s="13"/>
      <c r="K5" s="29"/>
      <c r="L5" s="29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24"/>
      <c r="AI5" s="24"/>
      <c r="AJ5" s="24"/>
    </row>
    <row r="6">
      <c r="B6" s="39"/>
      <c r="C6" s="39"/>
      <c r="D6" s="39"/>
      <c r="E6" s="39"/>
      <c r="F6" s="39"/>
    </row>
    <row r="7">
      <c r="A7" s="29"/>
      <c r="B7" s="14"/>
      <c r="C7" s="14"/>
      <c r="D7" s="14"/>
      <c r="E7" s="14"/>
      <c r="F7" s="14"/>
      <c r="G7" s="13"/>
      <c r="H7" s="13"/>
      <c r="I7" s="13"/>
      <c r="J7" s="13"/>
      <c r="K7" s="29"/>
      <c r="L7" s="29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4"/>
      <c r="AJ7" s="24"/>
    </row>
    <row r="8">
      <c r="A8" s="29"/>
      <c r="B8" s="14"/>
      <c r="C8" s="14"/>
      <c r="D8" s="14"/>
      <c r="E8" s="14"/>
      <c r="F8" s="14"/>
      <c r="G8" s="13"/>
      <c r="H8" s="13"/>
      <c r="I8" s="13"/>
      <c r="J8" s="13"/>
      <c r="K8" s="29"/>
      <c r="L8" s="29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4"/>
      <c r="AJ8" s="24"/>
    </row>
    <row r="9">
      <c r="A9" s="29"/>
      <c r="B9" s="14"/>
      <c r="C9" s="14"/>
      <c r="D9" s="14"/>
      <c r="E9" s="14"/>
      <c r="F9" s="14"/>
      <c r="G9" s="13"/>
      <c r="H9" s="13"/>
      <c r="I9" s="13"/>
      <c r="J9" s="13"/>
      <c r="K9" s="29"/>
      <c r="L9" s="29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4"/>
      <c r="AJ9" s="24"/>
    </row>
    <row r="10">
      <c r="A10" s="29"/>
      <c r="B10" s="14"/>
      <c r="C10" s="14"/>
      <c r="D10" s="14"/>
      <c r="E10" s="14"/>
      <c r="F10" s="14"/>
      <c r="G10" s="13"/>
      <c r="H10" s="13"/>
      <c r="I10" s="13"/>
      <c r="J10" s="13"/>
      <c r="K10" s="29"/>
      <c r="L10" s="29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24"/>
    </row>
    <row r="11">
      <c r="A11" s="29"/>
      <c r="B11" s="14"/>
      <c r="C11" s="14"/>
      <c r="D11" s="14"/>
      <c r="E11" s="14"/>
      <c r="F11" s="14"/>
      <c r="G11" s="13"/>
      <c r="H11" s="13"/>
      <c r="I11" s="13"/>
      <c r="J11" s="13"/>
      <c r="K11" s="29"/>
      <c r="L11" s="2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4"/>
      <c r="AJ11" s="24"/>
    </row>
    <row r="12">
      <c r="A12" s="29"/>
      <c r="B12" s="14"/>
      <c r="C12" s="14"/>
      <c r="D12" s="14"/>
      <c r="E12" s="14"/>
      <c r="F12" s="14"/>
      <c r="G12" s="13"/>
      <c r="H12" s="13"/>
      <c r="I12" s="13"/>
      <c r="J12" s="13"/>
      <c r="K12" s="29"/>
      <c r="L12" s="29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4"/>
      <c r="AJ12" s="24"/>
    </row>
    <row r="13">
      <c r="A13" s="29"/>
      <c r="B13" s="14"/>
      <c r="C13" s="14"/>
      <c r="D13" s="14"/>
      <c r="E13" s="14"/>
      <c r="F13" s="14"/>
      <c r="G13" s="13"/>
      <c r="H13" s="13"/>
      <c r="I13" s="13"/>
      <c r="J13" s="13"/>
      <c r="K13" s="29"/>
      <c r="L13" s="29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4"/>
      <c r="AJ13" s="24"/>
    </row>
    <row r="14">
      <c r="A14" s="29"/>
      <c r="B14" s="14"/>
      <c r="C14" s="14"/>
      <c r="D14" s="14"/>
      <c r="E14" s="14"/>
      <c r="F14" s="14"/>
      <c r="G14" s="13"/>
      <c r="H14" s="13"/>
      <c r="I14" s="13"/>
      <c r="J14" s="13"/>
      <c r="K14" s="29"/>
      <c r="L14" s="29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4"/>
      <c r="AJ14" s="24"/>
    </row>
    <row r="15">
      <c r="A15" s="29"/>
      <c r="B15" s="14"/>
      <c r="C15" s="14"/>
      <c r="D15" s="14"/>
      <c r="E15" s="14"/>
      <c r="F15" s="14"/>
      <c r="G15" s="13"/>
      <c r="H15" s="13"/>
      <c r="I15" s="13"/>
      <c r="J15" s="13"/>
      <c r="K15" s="29"/>
      <c r="L15" s="29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4"/>
      <c r="AJ15" s="24"/>
    </row>
    <row r="16">
      <c r="A16" s="29"/>
      <c r="B16" s="14"/>
      <c r="C16" s="14"/>
      <c r="D16" s="14"/>
      <c r="E16" s="14"/>
      <c r="F16" s="14"/>
      <c r="G16" s="13"/>
      <c r="H16" s="13"/>
      <c r="I16" s="13"/>
      <c r="J16" s="13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4"/>
      <c r="AJ16" s="24"/>
    </row>
    <row r="17">
      <c r="A17" s="29"/>
      <c r="B17" s="14"/>
      <c r="C17" s="14"/>
      <c r="D17" s="14"/>
      <c r="E17" s="14"/>
      <c r="F17" s="14"/>
      <c r="G17" s="13"/>
      <c r="H17" s="13"/>
      <c r="I17" s="13"/>
      <c r="J17" s="13"/>
      <c r="K17" s="29"/>
      <c r="L17" s="29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4"/>
      <c r="AJ17" s="24"/>
    </row>
    <row r="18">
      <c r="A18" s="29"/>
      <c r="B18" s="14"/>
      <c r="C18" s="14"/>
      <c r="D18" s="14"/>
      <c r="E18" s="14"/>
      <c r="F18" s="14"/>
      <c r="G18" s="13"/>
      <c r="H18" s="13"/>
      <c r="I18" s="13"/>
      <c r="J18" s="13"/>
      <c r="K18" s="29"/>
      <c r="L18" s="29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4"/>
      <c r="AJ18" s="24"/>
    </row>
    <row r="19">
      <c r="A19" s="29"/>
      <c r="B19" s="14"/>
      <c r="C19" s="14"/>
      <c r="D19" s="14"/>
      <c r="E19" s="14"/>
      <c r="F19" s="14"/>
      <c r="G19" s="13"/>
      <c r="H19" s="13"/>
      <c r="I19" s="13"/>
      <c r="J19" s="13"/>
      <c r="K19" s="29"/>
      <c r="L19" s="2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4"/>
      <c r="AJ19" s="24"/>
    </row>
    <row r="20">
      <c r="A20" s="29"/>
      <c r="B20" s="14"/>
      <c r="C20" s="14"/>
      <c r="D20" s="14"/>
      <c r="E20" s="14"/>
      <c r="F20" s="14"/>
      <c r="G20" s="13"/>
      <c r="H20" s="13"/>
      <c r="I20" s="13"/>
      <c r="J20" s="13"/>
      <c r="K20" s="29"/>
      <c r="L20" s="29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4"/>
      <c r="AJ20" s="24"/>
    </row>
    <row r="21" ht="15.75" customHeight="1">
      <c r="A21" s="29"/>
      <c r="B21" s="14"/>
      <c r="C21" s="14"/>
      <c r="D21" s="14"/>
      <c r="E21" s="14"/>
      <c r="F21" s="14"/>
      <c r="G21" s="13"/>
      <c r="H21" s="13"/>
      <c r="I21" s="13"/>
      <c r="J21" s="13"/>
      <c r="K21" s="29"/>
      <c r="L21" s="29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4"/>
      <c r="AJ21" s="24"/>
    </row>
    <row r="22" ht="15.75" customHeight="1">
      <c r="A22" s="29"/>
      <c r="B22" s="14"/>
      <c r="C22" s="14"/>
      <c r="D22" s="14"/>
      <c r="E22" s="14"/>
      <c r="F22" s="14"/>
      <c r="G22" s="13"/>
      <c r="H22" s="13"/>
      <c r="I22" s="13"/>
      <c r="J22" s="13"/>
      <c r="K22" s="29"/>
      <c r="L22" s="29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4"/>
      <c r="AJ22" s="24"/>
    </row>
    <row r="23" ht="15.75" customHeight="1">
      <c r="A23" s="29"/>
      <c r="B23" s="14"/>
      <c r="C23" s="14"/>
      <c r="D23" s="14"/>
      <c r="E23" s="14"/>
      <c r="F23" s="14"/>
      <c r="G23" s="13"/>
      <c r="H23" s="13"/>
      <c r="I23" s="13"/>
      <c r="J23" s="13"/>
      <c r="K23" s="29"/>
      <c r="L23" s="29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4"/>
      <c r="AJ23" s="24"/>
    </row>
    <row r="24" ht="15.75" customHeight="1">
      <c r="A24" s="29"/>
      <c r="B24" s="14"/>
      <c r="C24" s="14"/>
      <c r="D24" s="14"/>
      <c r="E24" s="14"/>
      <c r="F24" s="14"/>
      <c r="G24" s="13"/>
      <c r="H24" s="13"/>
      <c r="I24" s="13"/>
      <c r="J24" s="13"/>
      <c r="K24" s="29"/>
      <c r="L24" s="2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4"/>
      <c r="AJ24" s="24"/>
    </row>
    <row r="25" ht="15.75" customHeight="1">
      <c r="A25" s="29"/>
      <c r="B25" s="14"/>
      <c r="C25" s="14"/>
      <c r="D25" s="14"/>
      <c r="E25" s="14"/>
      <c r="F25" s="14"/>
      <c r="G25" s="13"/>
      <c r="H25" s="13"/>
      <c r="I25" s="13"/>
      <c r="J25" s="13"/>
      <c r="K25" s="29"/>
      <c r="L25" s="2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4"/>
      <c r="AJ25" s="24"/>
    </row>
    <row r="26" ht="15.75" customHeight="1">
      <c r="A26" s="29"/>
      <c r="B26" s="14"/>
      <c r="C26" s="14"/>
      <c r="D26" s="14"/>
      <c r="E26" s="14"/>
      <c r="F26" s="14"/>
      <c r="G26" s="13"/>
      <c r="H26" s="13"/>
      <c r="I26" s="13"/>
      <c r="J26" s="13"/>
      <c r="K26" s="29"/>
      <c r="L26" s="2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4"/>
      <c r="AJ26" s="24"/>
    </row>
    <row r="27" ht="15.75" customHeight="1">
      <c r="A27" s="29"/>
      <c r="B27" s="14"/>
      <c r="C27" s="14"/>
      <c r="D27" s="14"/>
      <c r="E27" s="14"/>
      <c r="F27" s="14"/>
      <c r="G27" s="13"/>
      <c r="H27" s="13"/>
      <c r="I27" s="13"/>
      <c r="J27" s="13"/>
      <c r="K27" s="29"/>
      <c r="L27" s="2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4"/>
      <c r="AJ27" s="24"/>
    </row>
    <row r="28" ht="15.75" customHeight="1">
      <c r="A28" s="29"/>
      <c r="B28" s="14"/>
      <c r="C28" s="14"/>
      <c r="D28" s="14"/>
      <c r="E28" s="14"/>
      <c r="F28" s="14"/>
      <c r="G28" s="13"/>
      <c r="H28" s="13"/>
      <c r="I28" s="13"/>
      <c r="J28" s="13"/>
      <c r="K28" s="29"/>
      <c r="L28" s="2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4"/>
      <c r="AJ28" s="24"/>
    </row>
    <row r="29" ht="15.75" customHeight="1">
      <c r="A29" s="29"/>
      <c r="B29" s="14"/>
      <c r="C29" s="14"/>
      <c r="D29" s="14"/>
      <c r="E29" s="14"/>
      <c r="F29" s="14"/>
      <c r="G29" s="13"/>
      <c r="H29" s="13"/>
      <c r="I29" s="13"/>
      <c r="J29" s="13"/>
      <c r="K29" s="29"/>
      <c r="L29" s="29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4"/>
      <c r="AJ29" s="24"/>
    </row>
    <row r="30" ht="15.75" customHeight="1">
      <c r="A30" s="29"/>
      <c r="B30" s="14"/>
      <c r="C30" s="14"/>
      <c r="D30" s="14"/>
      <c r="E30" s="14"/>
      <c r="F30" s="14"/>
      <c r="G30" s="13"/>
      <c r="H30" s="13"/>
      <c r="I30" s="13"/>
      <c r="J30" s="13"/>
      <c r="K30" s="29"/>
      <c r="L30" s="29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4"/>
      <c r="AJ30" s="24"/>
    </row>
    <row r="31" ht="15.75" customHeight="1">
      <c r="A31" s="29"/>
      <c r="B31" s="14"/>
      <c r="C31" s="14"/>
      <c r="D31" s="14"/>
      <c r="E31" s="14"/>
      <c r="F31" s="14"/>
      <c r="G31" s="13"/>
      <c r="H31" s="13"/>
      <c r="I31" s="13"/>
      <c r="J31" s="13"/>
      <c r="K31" s="29"/>
      <c r="L31" s="29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4"/>
      <c r="AJ31" s="24"/>
    </row>
    <row r="32" ht="15.75" customHeight="1">
      <c r="A32" s="29"/>
      <c r="B32" s="14"/>
      <c r="C32" s="14"/>
      <c r="D32" s="14"/>
      <c r="E32" s="14"/>
      <c r="F32" s="14"/>
      <c r="G32" s="13"/>
      <c r="H32" s="13"/>
      <c r="I32" s="13"/>
      <c r="J32" s="13"/>
      <c r="K32" s="29"/>
      <c r="L32" s="29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4"/>
      <c r="AJ32" s="24"/>
    </row>
    <row r="33" ht="15.75" customHeight="1">
      <c r="A33" s="29"/>
      <c r="B33" s="14"/>
      <c r="C33" s="14"/>
      <c r="D33" s="14"/>
      <c r="E33" s="14"/>
      <c r="F33" s="14"/>
      <c r="G33" s="13"/>
      <c r="H33" s="13"/>
      <c r="I33" s="13"/>
      <c r="J33" s="13"/>
      <c r="K33" s="29"/>
      <c r="L33" s="2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4"/>
      <c r="AJ33" s="24"/>
    </row>
    <row r="34" ht="15.75" customHeight="1">
      <c r="A34" s="29"/>
      <c r="B34" s="14"/>
      <c r="C34" s="14"/>
      <c r="D34" s="14"/>
      <c r="E34" s="14"/>
      <c r="F34" s="14"/>
      <c r="G34" s="13"/>
      <c r="H34" s="13"/>
      <c r="I34" s="13"/>
      <c r="J34" s="13"/>
      <c r="K34" s="29"/>
      <c r="L34" s="2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4"/>
      <c r="AJ34" s="24"/>
    </row>
    <row r="35" ht="15.75" customHeight="1">
      <c r="A35" s="29"/>
      <c r="B35" s="14"/>
      <c r="C35" s="14"/>
      <c r="D35" s="14"/>
      <c r="E35" s="14"/>
      <c r="F35" s="14"/>
      <c r="G35" s="13"/>
      <c r="H35" s="13"/>
      <c r="I35" s="13"/>
      <c r="J35" s="13"/>
      <c r="K35" s="29"/>
      <c r="L35" s="2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4"/>
      <c r="AJ35" s="24"/>
    </row>
    <row r="36" ht="15.75" customHeight="1">
      <c r="A36" s="29"/>
      <c r="B36" s="14"/>
      <c r="C36" s="14"/>
      <c r="D36" s="14"/>
      <c r="E36" s="14"/>
      <c r="F36" s="14"/>
      <c r="G36" s="13"/>
      <c r="H36" s="13"/>
      <c r="I36" s="13"/>
      <c r="J36" s="13"/>
      <c r="K36" s="29"/>
      <c r="L36" s="2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4"/>
      <c r="AJ36" s="24"/>
    </row>
    <row r="37" ht="15.75" customHeight="1">
      <c r="A37" s="29"/>
      <c r="B37" s="14"/>
      <c r="C37" s="14"/>
      <c r="D37" s="14"/>
      <c r="E37" s="14"/>
      <c r="F37" s="14"/>
      <c r="G37" s="13"/>
      <c r="H37" s="13"/>
      <c r="I37" s="13"/>
      <c r="J37" s="13"/>
      <c r="K37" s="29"/>
      <c r="L37" s="2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4"/>
      <c r="AJ37" s="24"/>
    </row>
    <row r="38" ht="15.75" customHeight="1">
      <c r="A38" s="29"/>
      <c r="B38" s="14"/>
      <c r="C38" s="14"/>
      <c r="D38" s="14"/>
      <c r="E38" s="14"/>
      <c r="F38" s="14"/>
      <c r="G38" s="13"/>
      <c r="H38" s="13"/>
      <c r="I38" s="13"/>
      <c r="J38" s="13"/>
      <c r="K38" s="29"/>
      <c r="L38" s="29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4"/>
      <c r="AJ38" s="24"/>
    </row>
    <row r="39" ht="15.75" customHeight="1">
      <c r="A39" s="29"/>
      <c r="B39" s="14"/>
      <c r="C39" s="14"/>
      <c r="D39" s="14"/>
      <c r="E39" s="14"/>
      <c r="F39" s="14"/>
      <c r="G39" s="13"/>
      <c r="H39" s="13"/>
      <c r="I39" s="13"/>
      <c r="J39" s="13"/>
      <c r="K39" s="29"/>
      <c r="L39" s="2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4"/>
      <c r="AJ39" s="24"/>
    </row>
    <row r="40" ht="15.75" customHeight="1">
      <c r="A40" s="29"/>
      <c r="B40" s="14"/>
      <c r="C40" s="14"/>
      <c r="D40" s="14"/>
      <c r="E40" s="14"/>
      <c r="F40" s="14"/>
      <c r="G40" s="13"/>
      <c r="H40" s="13"/>
      <c r="I40" s="13"/>
      <c r="J40" s="13"/>
      <c r="K40" s="29"/>
      <c r="L40" s="29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4"/>
      <c r="AJ40" s="24"/>
    </row>
    <row r="41" ht="15.75" customHeight="1">
      <c r="A41" s="29"/>
      <c r="B41" s="14"/>
      <c r="C41" s="14"/>
      <c r="D41" s="14"/>
      <c r="E41" s="14"/>
      <c r="F41" s="14"/>
      <c r="G41" s="13"/>
      <c r="H41" s="13"/>
      <c r="I41" s="13"/>
      <c r="J41" s="13"/>
      <c r="K41" s="29"/>
      <c r="L41" s="2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4"/>
      <c r="AJ41" s="24"/>
    </row>
    <row r="42" ht="15.75" customHeight="1">
      <c r="A42" s="29"/>
      <c r="B42" s="14"/>
      <c r="C42" s="14"/>
      <c r="D42" s="14"/>
      <c r="E42" s="14"/>
      <c r="F42" s="14"/>
      <c r="G42" s="13"/>
      <c r="H42" s="13"/>
      <c r="I42" s="13"/>
      <c r="J42" s="13"/>
      <c r="K42" s="29"/>
      <c r="L42" s="29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4"/>
      <c r="AJ42" s="24"/>
    </row>
    <row r="43" ht="15.75" customHeight="1">
      <c r="A43" s="29"/>
      <c r="B43" s="14"/>
      <c r="C43" s="14"/>
      <c r="D43" s="14"/>
      <c r="E43" s="14"/>
      <c r="F43" s="14"/>
      <c r="G43" s="13"/>
      <c r="H43" s="13"/>
      <c r="I43" s="13"/>
      <c r="J43" s="13"/>
      <c r="K43" s="29"/>
      <c r="L43" s="29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4"/>
      <c r="AJ43" s="24"/>
    </row>
    <row r="44" ht="15.75" customHeight="1">
      <c r="A44" s="29"/>
      <c r="B44" s="14"/>
      <c r="C44" s="14"/>
      <c r="D44" s="14"/>
      <c r="E44" s="14"/>
      <c r="F44" s="14"/>
      <c r="G44" s="13"/>
      <c r="H44" s="13"/>
      <c r="I44" s="13"/>
      <c r="J44" s="13"/>
      <c r="K44" s="29"/>
      <c r="L44" s="29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4"/>
      <c r="AJ44" s="24"/>
    </row>
    <row r="45" ht="15.75" customHeight="1">
      <c r="A45" s="29"/>
      <c r="B45" s="14"/>
      <c r="C45" s="14"/>
      <c r="D45" s="14"/>
      <c r="E45" s="14"/>
      <c r="F45" s="14"/>
      <c r="G45" s="13"/>
      <c r="H45" s="13"/>
      <c r="I45" s="13"/>
      <c r="J45" s="13"/>
      <c r="K45" s="29"/>
      <c r="L45" s="29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24"/>
    </row>
    <row r="46" ht="15.75" customHeight="1">
      <c r="A46" s="29"/>
      <c r="B46" s="14"/>
      <c r="C46" s="14"/>
      <c r="D46" s="14"/>
      <c r="E46" s="14"/>
      <c r="F46" s="14"/>
      <c r="G46" s="13"/>
      <c r="H46" s="13"/>
      <c r="I46" s="13"/>
      <c r="J46" s="13"/>
      <c r="K46" s="29"/>
      <c r="L46" s="29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4"/>
      <c r="AJ46" s="24"/>
    </row>
    <row r="47" ht="15.75" customHeight="1">
      <c r="A47" s="29"/>
      <c r="B47" s="14"/>
      <c r="C47" s="14"/>
      <c r="D47" s="14"/>
      <c r="E47" s="14"/>
      <c r="F47" s="14"/>
      <c r="G47" s="13"/>
      <c r="H47" s="13"/>
      <c r="I47" s="13"/>
      <c r="J47" s="13"/>
      <c r="K47" s="29"/>
      <c r="L47" s="29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4"/>
      <c r="AJ47" s="24"/>
    </row>
    <row r="48" ht="15.75" customHeight="1">
      <c r="A48" s="29"/>
      <c r="B48" s="14"/>
      <c r="C48" s="14"/>
      <c r="D48" s="14"/>
      <c r="E48" s="14"/>
      <c r="F48" s="14"/>
      <c r="G48" s="13"/>
      <c r="H48" s="13"/>
      <c r="I48" s="13"/>
      <c r="J48" s="13"/>
      <c r="K48" s="29"/>
      <c r="L48" s="29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4"/>
      <c r="AJ48" s="24"/>
    </row>
    <row r="49" ht="15.75" customHeight="1">
      <c r="A49" s="29"/>
      <c r="B49" s="14"/>
      <c r="C49" s="14"/>
      <c r="D49" s="14"/>
      <c r="E49" s="14"/>
      <c r="F49" s="14"/>
      <c r="G49" s="13"/>
      <c r="H49" s="13"/>
      <c r="I49" s="13"/>
      <c r="J49" s="13"/>
      <c r="K49" s="29"/>
      <c r="L49" s="29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4"/>
      <c r="AJ49" s="24"/>
    </row>
    <row r="50" ht="15.75" customHeight="1">
      <c r="A50" s="29"/>
      <c r="B50" s="14"/>
      <c r="C50" s="14"/>
      <c r="D50" s="14"/>
      <c r="E50" s="14"/>
      <c r="F50" s="14"/>
      <c r="G50" s="13"/>
      <c r="H50" s="13"/>
      <c r="I50" s="13"/>
      <c r="J50" s="13"/>
      <c r="K50" s="29"/>
      <c r="L50" s="29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4"/>
      <c r="AJ50" s="24"/>
    </row>
    <row r="51" ht="15.75" customHeight="1">
      <c r="A51" s="29"/>
      <c r="B51" s="14"/>
      <c r="C51" s="14"/>
      <c r="D51" s="14"/>
      <c r="E51" s="14"/>
      <c r="F51" s="14"/>
      <c r="G51" s="13"/>
      <c r="H51" s="13"/>
      <c r="I51" s="13"/>
      <c r="J51" s="13"/>
      <c r="K51" s="29"/>
      <c r="L51" s="29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4"/>
      <c r="AJ51" s="24"/>
    </row>
    <row r="52" ht="15.75" customHeight="1">
      <c r="A52" s="29"/>
      <c r="B52" s="14"/>
      <c r="C52" s="14"/>
      <c r="D52" s="14"/>
      <c r="E52" s="14"/>
      <c r="F52" s="14"/>
      <c r="G52" s="13"/>
      <c r="H52" s="13"/>
      <c r="I52" s="13"/>
      <c r="J52" s="13"/>
      <c r="K52" s="29"/>
      <c r="L52" s="29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4"/>
      <c r="AJ52" s="24"/>
    </row>
    <row r="53" ht="15.75" customHeight="1">
      <c r="A53" s="29"/>
      <c r="B53" s="14"/>
      <c r="C53" s="14"/>
      <c r="D53" s="14"/>
      <c r="E53" s="14"/>
      <c r="F53" s="14"/>
      <c r="G53" s="13"/>
      <c r="H53" s="13"/>
      <c r="I53" s="13"/>
      <c r="J53" s="13"/>
      <c r="K53" s="29"/>
      <c r="L53" s="29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4"/>
      <c r="AJ53" s="24"/>
    </row>
    <row r="54" ht="15.75" customHeight="1">
      <c r="A54" s="29"/>
      <c r="B54" s="14"/>
      <c r="C54" s="14"/>
      <c r="D54" s="14"/>
      <c r="E54" s="14"/>
      <c r="F54" s="14"/>
      <c r="G54" s="13"/>
      <c r="H54" s="13"/>
      <c r="I54" s="13"/>
      <c r="J54" s="13"/>
      <c r="K54" s="29"/>
      <c r="L54" s="29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4"/>
      <c r="AJ54" s="24"/>
    </row>
    <row r="55" ht="15.75" customHeight="1">
      <c r="A55" s="29"/>
      <c r="B55" s="14"/>
      <c r="C55" s="14"/>
      <c r="D55" s="14"/>
      <c r="E55" s="14"/>
      <c r="F55" s="14"/>
      <c r="G55" s="13"/>
      <c r="H55" s="13"/>
      <c r="I55" s="13"/>
      <c r="J55" s="13"/>
      <c r="K55" s="29"/>
      <c r="L55" s="29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4"/>
      <c r="AJ55" s="24"/>
    </row>
    <row r="56" ht="15.75" customHeight="1">
      <c r="A56" s="29"/>
      <c r="B56" s="14"/>
      <c r="C56" s="14"/>
      <c r="D56" s="14"/>
      <c r="E56" s="14"/>
      <c r="F56" s="14"/>
      <c r="G56" s="13"/>
      <c r="H56" s="13"/>
      <c r="I56" s="13"/>
      <c r="J56" s="13"/>
      <c r="K56" s="29"/>
      <c r="L56" s="29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4"/>
      <c r="AJ56" s="24"/>
    </row>
    <row r="57" ht="15.75" customHeight="1">
      <c r="A57" s="29"/>
      <c r="B57" s="14"/>
      <c r="C57" s="14"/>
      <c r="D57" s="14"/>
      <c r="E57" s="14"/>
      <c r="F57" s="14"/>
      <c r="G57" s="13"/>
      <c r="H57" s="13"/>
      <c r="I57" s="13"/>
      <c r="J57" s="13"/>
      <c r="K57" s="29"/>
      <c r="L57" s="29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4"/>
      <c r="AJ57" s="24"/>
    </row>
    <row r="58" ht="15.75" customHeight="1">
      <c r="A58" s="29"/>
      <c r="B58" s="14"/>
      <c r="C58" s="14"/>
      <c r="D58" s="14"/>
      <c r="E58" s="14"/>
      <c r="F58" s="14"/>
      <c r="G58" s="13"/>
      <c r="H58" s="13"/>
      <c r="I58" s="13"/>
      <c r="J58" s="13"/>
      <c r="K58" s="29"/>
      <c r="L58" s="29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4"/>
      <c r="AJ58" s="24"/>
    </row>
    <row r="59" ht="15.75" customHeight="1">
      <c r="A59" s="29"/>
      <c r="B59" s="14"/>
      <c r="C59" s="14"/>
      <c r="D59" s="14"/>
      <c r="E59" s="14"/>
      <c r="F59" s="14"/>
      <c r="G59" s="13"/>
      <c r="H59" s="13"/>
      <c r="I59" s="13"/>
      <c r="J59" s="13"/>
      <c r="K59" s="29"/>
      <c r="L59" s="29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4"/>
      <c r="AJ59" s="24"/>
    </row>
    <row r="60" ht="15.75" customHeight="1">
      <c r="A60" s="29"/>
      <c r="B60" s="14"/>
      <c r="C60" s="14"/>
      <c r="D60" s="14"/>
      <c r="E60" s="14"/>
      <c r="F60" s="14"/>
      <c r="G60" s="13"/>
      <c r="H60" s="13"/>
      <c r="I60" s="13"/>
      <c r="J60" s="13"/>
      <c r="K60" s="29"/>
      <c r="L60" s="29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4"/>
      <c r="AJ60" s="24"/>
    </row>
    <row r="61" ht="15.75" customHeight="1">
      <c r="A61" s="29"/>
      <c r="B61" s="14"/>
      <c r="C61" s="14"/>
      <c r="D61" s="14"/>
      <c r="E61" s="14"/>
      <c r="F61" s="14"/>
      <c r="G61" s="13"/>
      <c r="H61" s="13"/>
      <c r="I61" s="13"/>
      <c r="J61" s="13"/>
      <c r="K61" s="29"/>
      <c r="L61" s="29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24"/>
    </row>
    <row r="62" ht="15.75" customHeight="1">
      <c r="A62" s="29"/>
      <c r="B62" s="14"/>
      <c r="C62" s="14"/>
      <c r="D62" s="14"/>
      <c r="E62" s="14"/>
      <c r="F62" s="14"/>
      <c r="G62" s="13"/>
      <c r="H62" s="13"/>
      <c r="I62" s="13"/>
      <c r="J62" s="13"/>
      <c r="K62" s="29"/>
      <c r="L62" s="29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4"/>
      <c r="AJ62" s="24"/>
    </row>
    <row r="63" ht="15.75" customHeight="1">
      <c r="A63" s="29"/>
      <c r="B63" s="14"/>
      <c r="C63" s="14"/>
      <c r="D63" s="14"/>
      <c r="E63" s="14"/>
      <c r="F63" s="14"/>
      <c r="G63" s="13"/>
      <c r="H63" s="13"/>
      <c r="I63" s="13"/>
      <c r="J63" s="13"/>
      <c r="K63" s="29"/>
      <c r="L63" s="29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4"/>
      <c r="AJ63" s="24"/>
    </row>
    <row r="64" ht="15.75" customHeight="1">
      <c r="A64" s="29"/>
      <c r="B64" s="14"/>
      <c r="C64" s="14"/>
      <c r="D64" s="14"/>
      <c r="E64" s="14"/>
      <c r="F64" s="14"/>
      <c r="G64" s="13"/>
      <c r="H64" s="13"/>
      <c r="I64" s="13"/>
      <c r="J64" s="13"/>
      <c r="K64" s="29"/>
      <c r="L64" s="29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4"/>
      <c r="AJ64" s="24"/>
    </row>
    <row r="65" ht="15.75" customHeight="1">
      <c r="A65" s="29"/>
      <c r="B65" s="14"/>
      <c r="C65" s="14"/>
      <c r="D65" s="14"/>
      <c r="E65" s="14"/>
      <c r="F65" s="14"/>
      <c r="G65" s="13"/>
      <c r="H65" s="13"/>
      <c r="I65" s="13"/>
      <c r="J65" s="13"/>
      <c r="K65" s="29"/>
      <c r="L65" s="29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4"/>
      <c r="AJ65" s="24"/>
    </row>
    <row r="66" ht="15.75" customHeight="1">
      <c r="A66" s="29"/>
      <c r="B66" s="14"/>
      <c r="C66" s="14"/>
      <c r="D66" s="14"/>
      <c r="E66" s="14"/>
      <c r="F66" s="14"/>
      <c r="G66" s="13"/>
      <c r="H66" s="13"/>
      <c r="I66" s="13"/>
      <c r="J66" s="13"/>
      <c r="K66" s="29"/>
      <c r="L66" s="29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4"/>
      <c r="AJ66" s="24"/>
    </row>
    <row r="67" ht="15.75" customHeight="1">
      <c r="A67" s="29"/>
      <c r="B67" s="14"/>
      <c r="C67" s="14"/>
      <c r="D67" s="14"/>
      <c r="E67" s="14"/>
      <c r="F67" s="14"/>
      <c r="G67" s="13"/>
      <c r="H67" s="13"/>
      <c r="I67" s="13"/>
      <c r="J67" s="13"/>
      <c r="K67" s="29"/>
      <c r="L67" s="29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4"/>
      <c r="AJ67" s="24"/>
    </row>
    <row r="68" ht="15.75" customHeight="1">
      <c r="A68" s="29"/>
      <c r="B68" s="14"/>
      <c r="C68" s="14"/>
      <c r="D68" s="14"/>
      <c r="E68" s="14"/>
      <c r="F68" s="14"/>
      <c r="G68" s="13"/>
      <c r="H68" s="13"/>
      <c r="I68" s="13"/>
      <c r="J68" s="13"/>
      <c r="K68" s="29"/>
      <c r="L68" s="29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4"/>
      <c r="AJ68" s="24"/>
    </row>
    <row r="69" ht="15.75" customHeight="1">
      <c r="A69" s="29"/>
      <c r="B69" s="14"/>
      <c r="C69" s="14"/>
      <c r="D69" s="14"/>
      <c r="E69" s="14"/>
      <c r="F69" s="14"/>
      <c r="G69" s="13"/>
      <c r="H69" s="13"/>
      <c r="I69" s="13"/>
      <c r="J69" s="13"/>
      <c r="K69" s="29"/>
      <c r="L69" s="29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4"/>
      <c r="AJ69" s="24"/>
    </row>
    <row r="70" ht="15.75" customHeight="1">
      <c r="A70" s="29"/>
      <c r="B70" s="14"/>
      <c r="C70" s="14"/>
      <c r="D70" s="14"/>
      <c r="E70" s="14"/>
      <c r="F70" s="14"/>
      <c r="G70" s="13"/>
      <c r="H70" s="13"/>
      <c r="I70" s="13"/>
      <c r="J70" s="13"/>
      <c r="K70" s="29"/>
      <c r="L70" s="29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4"/>
      <c r="AJ70" s="24"/>
    </row>
    <row r="71" ht="15.75" customHeight="1">
      <c r="A71" s="29"/>
      <c r="B71" s="14"/>
      <c r="C71" s="14"/>
      <c r="D71" s="14"/>
      <c r="E71" s="14"/>
      <c r="F71" s="14"/>
      <c r="G71" s="13"/>
      <c r="H71" s="13"/>
      <c r="I71" s="13"/>
      <c r="J71" s="13"/>
      <c r="K71" s="29"/>
      <c r="L71" s="29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4"/>
      <c r="AJ71" s="24"/>
    </row>
    <row r="72" ht="15.75" customHeight="1">
      <c r="A72" s="29"/>
      <c r="B72" s="14"/>
      <c r="C72" s="14"/>
      <c r="D72" s="14"/>
      <c r="E72" s="14"/>
      <c r="F72" s="14"/>
      <c r="G72" s="13"/>
      <c r="H72" s="13"/>
      <c r="I72" s="13"/>
      <c r="J72" s="13"/>
      <c r="K72" s="29"/>
      <c r="L72" s="29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4"/>
      <c r="AJ72" s="24"/>
    </row>
    <row r="73" ht="15.75" customHeight="1">
      <c r="A73" s="29"/>
      <c r="B73" s="14"/>
      <c r="C73" s="14"/>
      <c r="D73" s="14"/>
      <c r="E73" s="14"/>
      <c r="F73" s="14"/>
      <c r="G73" s="13"/>
      <c r="H73" s="13"/>
      <c r="I73" s="13"/>
      <c r="J73" s="13"/>
      <c r="K73" s="29"/>
      <c r="L73" s="29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4"/>
      <c r="AJ73" s="24"/>
    </row>
    <row r="74" ht="15.75" customHeight="1">
      <c r="A74" s="29"/>
      <c r="B74" s="14"/>
      <c r="C74" s="14"/>
      <c r="D74" s="14"/>
      <c r="E74" s="14"/>
      <c r="F74" s="14"/>
      <c r="G74" s="13"/>
      <c r="H74" s="13"/>
      <c r="I74" s="13"/>
      <c r="J74" s="13"/>
      <c r="K74" s="29"/>
      <c r="L74" s="29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4"/>
      <c r="AJ74" s="24"/>
    </row>
    <row r="75" ht="15.75" customHeight="1">
      <c r="A75" s="29"/>
      <c r="B75" s="14"/>
      <c r="C75" s="14"/>
      <c r="D75" s="14"/>
      <c r="E75" s="14"/>
      <c r="F75" s="14"/>
      <c r="G75" s="13"/>
      <c r="H75" s="13"/>
      <c r="I75" s="13"/>
      <c r="J75" s="13"/>
      <c r="K75" s="29"/>
      <c r="L75" s="29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4"/>
      <c r="AJ75" s="24"/>
    </row>
    <row r="76" ht="15.75" customHeight="1">
      <c r="A76" s="29"/>
      <c r="B76" s="14"/>
      <c r="C76" s="14"/>
      <c r="D76" s="14"/>
      <c r="E76" s="14"/>
      <c r="F76" s="14"/>
      <c r="G76" s="13"/>
      <c r="H76" s="13"/>
      <c r="I76" s="13"/>
      <c r="J76" s="13"/>
      <c r="K76" s="29"/>
      <c r="L76" s="29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4"/>
      <c r="AJ76" s="24"/>
    </row>
    <row r="77" ht="15.75" customHeight="1">
      <c r="A77" s="29"/>
      <c r="B77" s="14"/>
      <c r="C77" s="14"/>
      <c r="D77" s="14"/>
      <c r="E77" s="14"/>
      <c r="F77" s="14"/>
      <c r="G77" s="13"/>
      <c r="H77" s="13"/>
      <c r="I77" s="13"/>
      <c r="J77" s="13"/>
      <c r="K77" s="29"/>
      <c r="L77" s="29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4"/>
      <c r="AJ77" s="24"/>
    </row>
    <row r="78" ht="15.75" customHeight="1">
      <c r="A78" s="29"/>
      <c r="B78" s="14"/>
      <c r="C78" s="14"/>
      <c r="D78" s="14"/>
      <c r="E78" s="14"/>
      <c r="F78" s="14"/>
      <c r="G78" s="13"/>
      <c r="H78" s="13"/>
      <c r="I78" s="13"/>
      <c r="J78" s="13"/>
      <c r="K78" s="29"/>
      <c r="L78" s="29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4"/>
      <c r="AJ78" s="24"/>
    </row>
    <row r="79" ht="15.75" customHeight="1">
      <c r="A79" s="29"/>
      <c r="B79" s="14"/>
      <c r="C79" s="14"/>
      <c r="D79" s="14"/>
      <c r="E79" s="14"/>
      <c r="F79" s="14"/>
      <c r="G79" s="13"/>
      <c r="H79" s="13"/>
      <c r="I79" s="13"/>
      <c r="J79" s="13"/>
      <c r="K79" s="29"/>
      <c r="L79" s="29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4"/>
      <c r="AJ79" s="24"/>
    </row>
    <row r="80" ht="15.75" customHeight="1">
      <c r="A80" s="29"/>
      <c r="B80" s="14"/>
      <c r="C80" s="14"/>
      <c r="D80" s="14"/>
      <c r="E80" s="14"/>
      <c r="F80" s="14"/>
      <c r="G80" s="13"/>
      <c r="H80" s="13"/>
      <c r="I80" s="13"/>
      <c r="J80" s="13"/>
      <c r="K80" s="29"/>
      <c r="L80" s="29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4"/>
      <c r="AJ80" s="24"/>
    </row>
    <row r="81" ht="15.75" customHeight="1">
      <c r="A81" s="29"/>
      <c r="B81" s="14"/>
      <c r="C81" s="14"/>
      <c r="D81" s="14"/>
      <c r="E81" s="14"/>
      <c r="F81" s="14"/>
      <c r="G81" s="13"/>
      <c r="H81" s="13"/>
      <c r="I81" s="13"/>
      <c r="J81" s="13"/>
      <c r="K81" s="29"/>
      <c r="L81" s="29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4"/>
      <c r="AJ81" s="24"/>
    </row>
    <row r="82" ht="15.75" customHeight="1">
      <c r="A82" s="29"/>
      <c r="B82" s="14"/>
      <c r="C82" s="14"/>
      <c r="D82" s="14"/>
      <c r="E82" s="14"/>
      <c r="F82" s="14"/>
      <c r="G82" s="13"/>
      <c r="H82" s="13"/>
      <c r="I82" s="13"/>
      <c r="J82" s="13"/>
      <c r="K82" s="29"/>
      <c r="L82" s="29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4"/>
      <c r="AJ82" s="24"/>
    </row>
    <row r="83" ht="15.75" customHeight="1">
      <c r="A83" s="29"/>
      <c r="B83" s="14"/>
      <c r="C83" s="14"/>
      <c r="D83" s="14"/>
      <c r="E83" s="14"/>
      <c r="F83" s="14"/>
      <c r="G83" s="13"/>
      <c r="H83" s="13"/>
      <c r="I83" s="13"/>
      <c r="J83" s="13"/>
      <c r="K83" s="29"/>
      <c r="L83" s="29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4"/>
      <c r="AJ83" s="24"/>
    </row>
    <row r="84" ht="15.75" customHeight="1">
      <c r="A84" s="29"/>
      <c r="B84" s="14"/>
      <c r="C84" s="14"/>
      <c r="D84" s="14"/>
      <c r="E84" s="14"/>
      <c r="F84" s="14"/>
      <c r="G84" s="13"/>
      <c r="H84" s="13"/>
      <c r="I84" s="13"/>
      <c r="J84" s="13"/>
      <c r="K84" s="29"/>
      <c r="L84" s="29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4"/>
      <c r="AJ84" s="24"/>
    </row>
    <row r="85" ht="15.75" customHeight="1">
      <c r="A85" s="29"/>
      <c r="B85" s="14"/>
      <c r="C85" s="14"/>
      <c r="D85" s="14"/>
      <c r="E85" s="14"/>
      <c r="F85" s="14"/>
      <c r="G85" s="13"/>
      <c r="H85" s="13"/>
      <c r="I85" s="13"/>
      <c r="J85" s="13"/>
      <c r="K85" s="29"/>
      <c r="L85" s="29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4"/>
      <c r="AJ85" s="24"/>
    </row>
    <row r="86" ht="15.75" customHeight="1">
      <c r="A86" s="29"/>
      <c r="B86" s="14"/>
      <c r="C86" s="14"/>
      <c r="D86" s="14"/>
      <c r="E86" s="14"/>
      <c r="F86" s="14"/>
      <c r="G86" s="13"/>
      <c r="H86" s="13"/>
      <c r="I86" s="13"/>
      <c r="J86" s="13"/>
      <c r="K86" s="29"/>
      <c r="L86" s="29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4"/>
      <c r="AJ86" s="24"/>
    </row>
    <row r="87" ht="15.75" customHeight="1">
      <c r="A87" s="29"/>
      <c r="B87" s="14"/>
      <c r="C87" s="14"/>
      <c r="D87" s="14"/>
      <c r="E87" s="14"/>
      <c r="F87" s="14"/>
      <c r="G87" s="13"/>
      <c r="H87" s="13"/>
      <c r="I87" s="13"/>
      <c r="J87" s="13"/>
      <c r="K87" s="29"/>
      <c r="L87" s="29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4"/>
      <c r="AJ87" s="24"/>
    </row>
    <row r="88" ht="15.75" customHeight="1">
      <c r="A88" s="29"/>
      <c r="B88" s="14"/>
      <c r="C88" s="14"/>
      <c r="D88" s="14"/>
      <c r="E88" s="14"/>
      <c r="F88" s="14"/>
      <c r="G88" s="13"/>
      <c r="H88" s="13"/>
      <c r="I88" s="13"/>
      <c r="J88" s="13"/>
      <c r="K88" s="29"/>
      <c r="L88" s="29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4"/>
      <c r="AJ88" s="24"/>
    </row>
    <row r="89" ht="15.75" customHeight="1">
      <c r="A89" s="29"/>
      <c r="B89" s="14"/>
      <c r="C89" s="14"/>
      <c r="D89" s="14"/>
      <c r="E89" s="14"/>
      <c r="F89" s="14"/>
      <c r="G89" s="13"/>
      <c r="H89" s="13"/>
      <c r="I89" s="13"/>
      <c r="J89" s="13"/>
      <c r="K89" s="29"/>
      <c r="L89" s="29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4"/>
      <c r="AJ89" s="24"/>
    </row>
    <row r="90" ht="15.75" customHeight="1">
      <c r="A90" s="29"/>
      <c r="B90" s="14"/>
      <c r="C90" s="14"/>
      <c r="D90" s="14"/>
      <c r="E90" s="14"/>
      <c r="F90" s="14"/>
      <c r="G90" s="13"/>
      <c r="H90" s="13"/>
      <c r="I90" s="13"/>
      <c r="J90" s="13"/>
      <c r="K90" s="29"/>
      <c r="L90" s="29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4"/>
      <c r="AJ90" s="24"/>
    </row>
    <row r="91" ht="15.75" customHeight="1">
      <c r="A91" s="29"/>
      <c r="B91" s="14"/>
      <c r="C91" s="14"/>
      <c r="D91" s="14"/>
      <c r="E91" s="14"/>
      <c r="F91" s="14"/>
      <c r="G91" s="13"/>
      <c r="H91" s="13"/>
      <c r="I91" s="13"/>
      <c r="J91" s="13"/>
      <c r="K91" s="29"/>
      <c r="L91" s="29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4"/>
      <c r="AJ91" s="24"/>
    </row>
    <row r="92" ht="15.75" customHeight="1">
      <c r="A92" s="29"/>
      <c r="B92" s="14"/>
      <c r="C92" s="14"/>
      <c r="D92" s="14"/>
      <c r="E92" s="14"/>
      <c r="F92" s="14"/>
      <c r="G92" s="13"/>
      <c r="H92" s="13"/>
      <c r="I92" s="13"/>
      <c r="J92" s="13"/>
      <c r="K92" s="29"/>
      <c r="L92" s="29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4"/>
      <c r="AJ92" s="24"/>
    </row>
    <row r="93" ht="15.75" customHeight="1">
      <c r="A93" s="29"/>
      <c r="B93" s="14"/>
      <c r="C93" s="14"/>
      <c r="D93" s="14"/>
      <c r="E93" s="14"/>
      <c r="F93" s="14"/>
      <c r="G93" s="13"/>
      <c r="H93" s="13"/>
      <c r="I93" s="13"/>
      <c r="J93" s="13"/>
      <c r="K93" s="29"/>
      <c r="L93" s="29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4"/>
      <c r="AJ93" s="24"/>
    </row>
    <row r="94" ht="15.75" customHeight="1">
      <c r="A94" s="29"/>
      <c r="B94" s="14"/>
      <c r="C94" s="14"/>
      <c r="D94" s="14"/>
      <c r="E94" s="14"/>
      <c r="F94" s="14"/>
      <c r="G94" s="13"/>
      <c r="H94" s="13"/>
      <c r="I94" s="13"/>
      <c r="J94" s="13"/>
      <c r="K94" s="29"/>
      <c r="L94" s="29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4"/>
      <c r="AJ94" s="24"/>
    </row>
    <row r="95" ht="15.75" customHeight="1">
      <c r="A95" s="29"/>
      <c r="B95" s="14"/>
      <c r="C95" s="14"/>
      <c r="D95" s="14"/>
      <c r="E95" s="14"/>
      <c r="F95" s="14"/>
      <c r="G95" s="13"/>
      <c r="H95" s="13"/>
      <c r="I95" s="13"/>
      <c r="J95" s="13"/>
      <c r="K95" s="29"/>
      <c r="L95" s="29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4"/>
      <c r="AJ95" s="24"/>
    </row>
    <row r="96" ht="15.75" customHeight="1">
      <c r="A96" s="29"/>
      <c r="B96" s="14"/>
      <c r="C96" s="14"/>
      <c r="D96" s="14"/>
      <c r="E96" s="14"/>
      <c r="F96" s="14"/>
      <c r="G96" s="13"/>
      <c r="H96" s="13"/>
      <c r="I96" s="13"/>
      <c r="J96" s="13"/>
      <c r="K96" s="29"/>
      <c r="L96" s="29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4"/>
      <c r="AJ96" s="24"/>
    </row>
    <row r="97" ht="15.75" customHeight="1">
      <c r="A97" s="29"/>
      <c r="B97" s="14"/>
      <c r="C97" s="14"/>
      <c r="D97" s="14"/>
      <c r="E97" s="14"/>
      <c r="F97" s="14"/>
      <c r="G97" s="13"/>
      <c r="H97" s="13"/>
      <c r="I97" s="13"/>
      <c r="J97" s="13"/>
      <c r="K97" s="29"/>
      <c r="L97" s="29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4"/>
      <c r="AJ97" s="24"/>
    </row>
    <row r="98" ht="15.75" customHeight="1">
      <c r="A98" s="29"/>
      <c r="B98" s="14"/>
      <c r="C98" s="14"/>
      <c r="D98" s="14"/>
      <c r="E98" s="14"/>
      <c r="F98" s="14"/>
      <c r="G98" s="13"/>
      <c r="H98" s="13"/>
      <c r="I98" s="13"/>
      <c r="J98" s="13"/>
      <c r="K98" s="29"/>
      <c r="L98" s="29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4"/>
      <c r="AJ98" s="24"/>
    </row>
    <row r="99" ht="15.75" customHeight="1">
      <c r="A99" s="29"/>
      <c r="B99" s="14"/>
      <c r="C99" s="14"/>
      <c r="D99" s="14"/>
      <c r="E99" s="14"/>
      <c r="F99" s="14"/>
      <c r="G99" s="13"/>
      <c r="H99" s="13"/>
      <c r="I99" s="13"/>
      <c r="J99" s="13"/>
      <c r="K99" s="29"/>
      <c r="L99" s="29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4"/>
      <c r="AJ99" s="24"/>
    </row>
    <row r="100" ht="15.75" customHeight="1">
      <c r="A100" s="29"/>
      <c r="B100" s="14"/>
      <c r="C100" s="14"/>
      <c r="D100" s="14"/>
      <c r="E100" s="14"/>
      <c r="F100" s="14"/>
      <c r="G100" s="13"/>
      <c r="H100" s="13"/>
      <c r="I100" s="13"/>
      <c r="J100" s="13"/>
      <c r="K100" s="29"/>
      <c r="L100" s="29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4"/>
      <c r="AJ100" s="24"/>
    </row>
    <row r="101" ht="15.75" customHeight="1">
      <c r="A101" s="29"/>
      <c r="B101" s="14"/>
      <c r="C101" s="14"/>
      <c r="D101" s="14"/>
      <c r="E101" s="14"/>
      <c r="F101" s="14"/>
      <c r="G101" s="13"/>
      <c r="H101" s="13"/>
      <c r="I101" s="13"/>
      <c r="J101" s="13"/>
      <c r="K101" s="29"/>
      <c r="L101" s="29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4"/>
      <c r="AJ101" s="24"/>
    </row>
    <row r="102" ht="15.75" customHeight="1">
      <c r="A102" s="29"/>
      <c r="B102" s="14"/>
      <c r="C102" s="14"/>
      <c r="D102" s="14"/>
      <c r="E102" s="14"/>
      <c r="F102" s="14"/>
      <c r="G102" s="13"/>
      <c r="H102" s="13"/>
      <c r="I102" s="13"/>
      <c r="J102" s="13"/>
      <c r="K102" s="29"/>
      <c r="L102" s="29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4"/>
      <c r="AJ102" s="24"/>
    </row>
    <row r="103" ht="15.75" customHeight="1">
      <c r="A103" s="29"/>
      <c r="B103" s="14"/>
      <c r="C103" s="14"/>
      <c r="D103" s="14"/>
      <c r="E103" s="14"/>
      <c r="F103" s="14"/>
      <c r="G103" s="13"/>
      <c r="H103" s="13"/>
      <c r="I103" s="13"/>
      <c r="J103" s="13"/>
      <c r="K103" s="29"/>
      <c r="L103" s="29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4"/>
      <c r="AJ103" s="24"/>
    </row>
    <row r="104" ht="15.75" customHeight="1">
      <c r="A104" s="29"/>
      <c r="B104" s="14"/>
      <c r="C104" s="14"/>
      <c r="D104" s="14"/>
      <c r="E104" s="14"/>
      <c r="F104" s="14"/>
      <c r="G104" s="13"/>
      <c r="H104" s="13"/>
      <c r="I104" s="13"/>
      <c r="J104" s="13"/>
      <c r="K104" s="29"/>
      <c r="L104" s="29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4"/>
      <c r="AJ104" s="24"/>
    </row>
    <row r="105" ht="15.75" customHeight="1">
      <c r="A105" s="29"/>
      <c r="B105" s="14"/>
      <c r="C105" s="14"/>
      <c r="D105" s="14"/>
      <c r="E105" s="14"/>
      <c r="F105" s="14"/>
      <c r="G105" s="13"/>
      <c r="H105" s="13"/>
      <c r="I105" s="13"/>
      <c r="J105" s="13"/>
      <c r="K105" s="29"/>
      <c r="L105" s="29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4"/>
      <c r="AJ105" s="24"/>
    </row>
    <row r="106" ht="15.75" customHeight="1">
      <c r="A106" s="29"/>
      <c r="B106" s="14"/>
      <c r="C106" s="14"/>
      <c r="D106" s="14"/>
      <c r="E106" s="14"/>
      <c r="F106" s="14"/>
      <c r="G106" s="13"/>
      <c r="H106" s="13"/>
      <c r="I106" s="13"/>
      <c r="J106" s="13"/>
      <c r="K106" s="29"/>
      <c r="L106" s="29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4"/>
      <c r="AJ106" s="24"/>
    </row>
    <row r="107" ht="15.75" customHeight="1">
      <c r="A107" s="29"/>
      <c r="B107" s="14"/>
      <c r="C107" s="14"/>
      <c r="D107" s="14"/>
      <c r="E107" s="14"/>
      <c r="F107" s="14"/>
      <c r="G107" s="13"/>
      <c r="H107" s="13"/>
      <c r="I107" s="13"/>
      <c r="J107" s="13"/>
      <c r="K107" s="29"/>
      <c r="L107" s="29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4"/>
      <c r="AJ107" s="24"/>
    </row>
    <row r="108" ht="15.75" customHeight="1">
      <c r="A108" s="29"/>
      <c r="B108" s="14"/>
      <c r="C108" s="14"/>
      <c r="D108" s="14"/>
      <c r="E108" s="14"/>
      <c r="F108" s="14"/>
      <c r="G108" s="13"/>
      <c r="H108" s="13"/>
      <c r="I108" s="13"/>
      <c r="J108" s="13"/>
      <c r="K108" s="29"/>
      <c r="L108" s="29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4"/>
      <c r="AJ108" s="24"/>
    </row>
    <row r="109" ht="15.75" customHeight="1">
      <c r="A109" s="29"/>
      <c r="B109" s="14"/>
      <c r="C109" s="14"/>
      <c r="D109" s="14"/>
      <c r="E109" s="14"/>
      <c r="F109" s="14"/>
      <c r="G109" s="13"/>
      <c r="H109" s="13"/>
      <c r="I109" s="13"/>
      <c r="J109" s="13"/>
      <c r="K109" s="29"/>
      <c r="L109" s="29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4"/>
      <c r="AJ109" s="24"/>
    </row>
    <row r="110" ht="15.75" customHeight="1">
      <c r="A110" s="29"/>
      <c r="B110" s="14"/>
      <c r="C110" s="14"/>
      <c r="D110" s="14"/>
      <c r="E110" s="14"/>
      <c r="F110" s="14"/>
      <c r="G110" s="13"/>
      <c r="H110" s="13"/>
      <c r="I110" s="13"/>
      <c r="J110" s="13"/>
      <c r="K110" s="29"/>
      <c r="L110" s="29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4"/>
      <c r="AJ110" s="24"/>
    </row>
    <row r="111" ht="15.75" customHeight="1">
      <c r="A111" s="29"/>
      <c r="B111" s="14"/>
      <c r="C111" s="14"/>
      <c r="D111" s="14"/>
      <c r="E111" s="14"/>
      <c r="F111" s="14"/>
      <c r="G111" s="13"/>
      <c r="H111" s="13"/>
      <c r="I111" s="13"/>
      <c r="J111" s="13"/>
      <c r="K111" s="29"/>
      <c r="L111" s="29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4"/>
      <c r="AJ111" s="24"/>
    </row>
    <row r="112" ht="15.75" customHeight="1">
      <c r="A112" s="29"/>
      <c r="B112" s="14"/>
      <c r="C112" s="14"/>
      <c r="D112" s="14"/>
      <c r="E112" s="14"/>
      <c r="F112" s="14"/>
      <c r="G112" s="13"/>
      <c r="H112" s="13"/>
      <c r="I112" s="13"/>
      <c r="J112" s="13"/>
      <c r="K112" s="29"/>
      <c r="L112" s="29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4"/>
      <c r="AJ112" s="24"/>
    </row>
    <row r="113" ht="15.75" customHeight="1">
      <c r="A113" s="29"/>
      <c r="B113" s="14"/>
      <c r="C113" s="14"/>
      <c r="D113" s="14"/>
      <c r="E113" s="14"/>
      <c r="F113" s="14"/>
      <c r="G113" s="13"/>
      <c r="H113" s="13"/>
      <c r="I113" s="13"/>
      <c r="J113" s="13"/>
      <c r="K113" s="29"/>
      <c r="L113" s="29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4"/>
      <c r="AJ113" s="24"/>
    </row>
    <row r="114" ht="15.75" customHeight="1">
      <c r="A114" s="29"/>
      <c r="B114" s="14"/>
      <c r="C114" s="14"/>
      <c r="D114" s="14"/>
      <c r="E114" s="14"/>
      <c r="F114" s="14"/>
      <c r="G114" s="13"/>
      <c r="H114" s="13"/>
      <c r="I114" s="13"/>
      <c r="J114" s="13"/>
      <c r="K114" s="29"/>
      <c r="L114" s="29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4"/>
      <c r="AJ114" s="24"/>
    </row>
    <row r="115" ht="15.75" customHeight="1">
      <c r="A115" s="29"/>
      <c r="B115" s="14"/>
      <c r="C115" s="14"/>
      <c r="D115" s="14"/>
      <c r="E115" s="14"/>
      <c r="F115" s="14"/>
      <c r="G115" s="13"/>
      <c r="H115" s="13"/>
      <c r="I115" s="13"/>
      <c r="J115" s="13"/>
      <c r="K115" s="29"/>
      <c r="L115" s="29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4"/>
      <c r="AJ115" s="24"/>
    </row>
    <row r="116" ht="15.75" customHeight="1">
      <c r="A116" s="29"/>
      <c r="B116" s="14"/>
      <c r="C116" s="14"/>
      <c r="D116" s="14"/>
      <c r="E116" s="14"/>
      <c r="F116" s="14"/>
      <c r="G116" s="13"/>
      <c r="H116" s="13"/>
      <c r="I116" s="13"/>
      <c r="J116" s="13"/>
      <c r="K116" s="29"/>
      <c r="L116" s="29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4"/>
      <c r="AJ116" s="24"/>
    </row>
    <row r="117" ht="15.75" customHeight="1">
      <c r="A117" s="29"/>
      <c r="B117" s="14"/>
      <c r="C117" s="14"/>
      <c r="D117" s="14"/>
      <c r="E117" s="14"/>
      <c r="F117" s="14"/>
      <c r="G117" s="13"/>
      <c r="H117" s="13"/>
      <c r="I117" s="13"/>
      <c r="J117" s="13"/>
      <c r="K117" s="29"/>
      <c r="L117" s="29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4"/>
      <c r="AJ117" s="24"/>
    </row>
    <row r="118" ht="15.75" customHeight="1">
      <c r="A118" s="29"/>
      <c r="B118" s="14"/>
      <c r="C118" s="14"/>
      <c r="D118" s="14"/>
      <c r="E118" s="14"/>
      <c r="F118" s="14"/>
      <c r="G118" s="13"/>
      <c r="H118" s="13"/>
      <c r="I118" s="13"/>
      <c r="J118" s="13"/>
      <c r="K118" s="29"/>
      <c r="L118" s="29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4"/>
      <c r="AJ118" s="24"/>
    </row>
    <row r="119" ht="15.75" customHeight="1">
      <c r="A119" s="29"/>
      <c r="B119" s="14"/>
      <c r="C119" s="14"/>
      <c r="D119" s="14"/>
      <c r="E119" s="14"/>
      <c r="F119" s="14"/>
      <c r="G119" s="13"/>
      <c r="H119" s="13"/>
      <c r="I119" s="13"/>
      <c r="J119" s="13"/>
      <c r="K119" s="29"/>
      <c r="L119" s="29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4"/>
      <c r="AJ119" s="24"/>
    </row>
    <row r="120" ht="15.75" customHeight="1">
      <c r="A120" s="29"/>
      <c r="B120" s="14"/>
      <c r="C120" s="14"/>
      <c r="D120" s="14"/>
      <c r="E120" s="14"/>
      <c r="F120" s="14"/>
      <c r="G120" s="13"/>
      <c r="H120" s="13"/>
      <c r="I120" s="13"/>
      <c r="J120" s="13"/>
      <c r="K120" s="29"/>
      <c r="L120" s="29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4"/>
      <c r="AJ120" s="24"/>
    </row>
    <row r="121" ht="15.75" customHeight="1">
      <c r="A121" s="29"/>
      <c r="B121" s="14"/>
      <c r="C121" s="14"/>
      <c r="D121" s="14"/>
      <c r="E121" s="14"/>
      <c r="F121" s="14"/>
      <c r="G121" s="13"/>
      <c r="H121" s="13"/>
      <c r="I121" s="13"/>
      <c r="J121" s="13"/>
      <c r="K121" s="29"/>
      <c r="L121" s="29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4"/>
      <c r="AJ121" s="24"/>
    </row>
    <row r="122" ht="15.75" customHeight="1">
      <c r="A122" s="29"/>
      <c r="B122" s="14"/>
      <c r="C122" s="14"/>
      <c r="D122" s="14"/>
      <c r="E122" s="14"/>
      <c r="F122" s="14"/>
      <c r="G122" s="13"/>
      <c r="H122" s="13"/>
      <c r="I122" s="13"/>
      <c r="J122" s="13"/>
      <c r="K122" s="29"/>
      <c r="L122" s="29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4"/>
      <c r="AJ122" s="24"/>
    </row>
    <row r="123" ht="15.75" customHeight="1">
      <c r="A123" s="29"/>
      <c r="B123" s="14"/>
      <c r="C123" s="14"/>
      <c r="D123" s="14"/>
      <c r="E123" s="14"/>
      <c r="F123" s="14"/>
      <c r="G123" s="13"/>
      <c r="H123" s="13"/>
      <c r="I123" s="13"/>
      <c r="J123" s="13"/>
      <c r="K123" s="29"/>
      <c r="L123" s="29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4"/>
      <c r="AJ123" s="24"/>
    </row>
    <row r="124" ht="15.75" customHeight="1">
      <c r="A124" s="29"/>
      <c r="B124" s="14"/>
      <c r="C124" s="14"/>
      <c r="D124" s="14"/>
      <c r="E124" s="14"/>
      <c r="F124" s="14"/>
      <c r="G124" s="13"/>
      <c r="H124" s="13"/>
      <c r="I124" s="13"/>
      <c r="J124" s="13"/>
      <c r="K124" s="29"/>
      <c r="L124" s="29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4"/>
      <c r="AJ124" s="24"/>
    </row>
    <row r="125" ht="15.75" customHeight="1">
      <c r="A125" s="29"/>
      <c r="B125" s="14"/>
      <c r="C125" s="14"/>
      <c r="D125" s="14"/>
      <c r="E125" s="14"/>
      <c r="F125" s="14"/>
      <c r="G125" s="13"/>
      <c r="H125" s="13"/>
      <c r="I125" s="13"/>
      <c r="J125" s="13"/>
      <c r="K125" s="29"/>
      <c r="L125" s="29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4"/>
      <c r="AJ125" s="24"/>
    </row>
    <row r="126" ht="15.75" customHeight="1">
      <c r="A126" s="29"/>
      <c r="B126" s="14"/>
      <c r="C126" s="14"/>
      <c r="D126" s="14"/>
      <c r="E126" s="14"/>
      <c r="F126" s="14"/>
      <c r="G126" s="13"/>
      <c r="H126" s="13"/>
      <c r="I126" s="13"/>
      <c r="J126" s="13"/>
      <c r="K126" s="29"/>
      <c r="L126" s="29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4"/>
      <c r="AJ126" s="24"/>
    </row>
    <row r="127" ht="15.75" customHeight="1">
      <c r="A127" s="29"/>
      <c r="B127" s="14"/>
      <c r="C127" s="14"/>
      <c r="D127" s="14"/>
      <c r="E127" s="14"/>
      <c r="F127" s="14"/>
      <c r="G127" s="13"/>
      <c r="H127" s="13"/>
      <c r="I127" s="13"/>
      <c r="J127" s="13"/>
      <c r="K127" s="29"/>
      <c r="L127" s="29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4"/>
      <c r="AJ127" s="24"/>
    </row>
    <row r="128" ht="15.75" customHeight="1">
      <c r="A128" s="29"/>
      <c r="B128" s="14"/>
      <c r="C128" s="14"/>
      <c r="D128" s="14"/>
      <c r="E128" s="14"/>
      <c r="F128" s="14"/>
      <c r="G128" s="13"/>
      <c r="H128" s="13"/>
      <c r="I128" s="13"/>
      <c r="J128" s="13"/>
      <c r="K128" s="29"/>
      <c r="L128" s="29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4"/>
      <c r="AJ128" s="24"/>
    </row>
    <row r="129" ht="15.75" customHeight="1">
      <c r="A129" s="29"/>
      <c r="B129" s="14"/>
      <c r="C129" s="14"/>
      <c r="D129" s="14"/>
      <c r="E129" s="14"/>
      <c r="F129" s="14"/>
      <c r="G129" s="13"/>
      <c r="H129" s="13"/>
      <c r="I129" s="13"/>
      <c r="J129" s="13"/>
      <c r="K129" s="29"/>
      <c r="L129" s="29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4"/>
      <c r="AJ129" s="24"/>
    </row>
    <row r="130" ht="15.75" customHeight="1">
      <c r="A130" s="29"/>
      <c r="B130" s="14"/>
      <c r="C130" s="14"/>
      <c r="D130" s="14"/>
      <c r="E130" s="14"/>
      <c r="F130" s="14"/>
      <c r="G130" s="13"/>
      <c r="H130" s="13"/>
      <c r="I130" s="13"/>
      <c r="J130" s="13"/>
      <c r="K130" s="29"/>
      <c r="L130" s="29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4"/>
      <c r="AJ130" s="24"/>
    </row>
    <row r="131" ht="15.75" customHeight="1">
      <c r="A131" s="29"/>
      <c r="B131" s="14"/>
      <c r="C131" s="14"/>
      <c r="D131" s="14"/>
      <c r="E131" s="14"/>
      <c r="F131" s="14"/>
      <c r="G131" s="13"/>
      <c r="H131" s="13"/>
      <c r="I131" s="13"/>
      <c r="J131" s="13"/>
      <c r="K131" s="29"/>
      <c r="L131" s="29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4"/>
      <c r="AJ131" s="24"/>
    </row>
    <row r="132" ht="15.75" customHeight="1">
      <c r="A132" s="29"/>
      <c r="B132" s="14"/>
      <c r="C132" s="14"/>
      <c r="D132" s="14"/>
      <c r="E132" s="14"/>
      <c r="F132" s="14"/>
      <c r="G132" s="13"/>
      <c r="H132" s="13"/>
      <c r="I132" s="13"/>
      <c r="J132" s="13"/>
      <c r="K132" s="29"/>
      <c r="L132" s="29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4"/>
      <c r="AJ132" s="24"/>
    </row>
    <row r="133" ht="15.75" customHeight="1">
      <c r="A133" s="29"/>
      <c r="B133" s="14"/>
      <c r="C133" s="14"/>
      <c r="D133" s="14"/>
      <c r="E133" s="14"/>
      <c r="F133" s="14"/>
      <c r="G133" s="13"/>
      <c r="H133" s="13"/>
      <c r="I133" s="13"/>
      <c r="J133" s="13"/>
      <c r="K133" s="29"/>
      <c r="L133" s="29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4"/>
      <c r="AJ133" s="24"/>
    </row>
    <row r="134" ht="15.75" customHeight="1">
      <c r="A134" s="29"/>
      <c r="B134" s="14"/>
      <c r="C134" s="14"/>
      <c r="D134" s="14"/>
      <c r="E134" s="14"/>
      <c r="F134" s="14"/>
      <c r="G134" s="13"/>
      <c r="H134" s="13"/>
      <c r="I134" s="13"/>
      <c r="J134" s="13"/>
      <c r="K134" s="29"/>
      <c r="L134" s="29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4"/>
      <c r="AJ134" s="24"/>
    </row>
    <row r="135" ht="15.75" customHeight="1">
      <c r="A135" s="29"/>
      <c r="B135" s="14"/>
      <c r="C135" s="14"/>
      <c r="D135" s="14"/>
      <c r="E135" s="14"/>
      <c r="F135" s="14"/>
      <c r="G135" s="13"/>
      <c r="H135" s="13"/>
      <c r="I135" s="13"/>
      <c r="J135" s="13"/>
      <c r="K135" s="29"/>
      <c r="L135" s="29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4"/>
      <c r="AJ135" s="24"/>
    </row>
    <row r="136" ht="15.75" customHeight="1">
      <c r="A136" s="29"/>
      <c r="B136" s="14"/>
      <c r="C136" s="14"/>
      <c r="D136" s="14"/>
      <c r="E136" s="14"/>
      <c r="F136" s="14"/>
      <c r="G136" s="13"/>
      <c r="H136" s="13"/>
      <c r="I136" s="13"/>
      <c r="J136" s="13"/>
      <c r="K136" s="29"/>
      <c r="L136" s="29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4"/>
      <c r="AJ136" s="24"/>
    </row>
    <row r="137" ht="15.75" customHeight="1">
      <c r="A137" s="29"/>
      <c r="B137" s="14"/>
      <c r="C137" s="14"/>
      <c r="D137" s="14"/>
      <c r="E137" s="14"/>
      <c r="F137" s="14"/>
      <c r="G137" s="13"/>
      <c r="H137" s="13"/>
      <c r="I137" s="13"/>
      <c r="J137" s="13"/>
      <c r="K137" s="29"/>
      <c r="L137" s="29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4"/>
      <c r="AJ137" s="24"/>
    </row>
    <row r="138" ht="15.75" customHeight="1">
      <c r="A138" s="29"/>
      <c r="B138" s="14"/>
      <c r="C138" s="14"/>
      <c r="D138" s="14"/>
      <c r="E138" s="14"/>
      <c r="F138" s="14"/>
      <c r="G138" s="13"/>
      <c r="H138" s="13"/>
      <c r="I138" s="13"/>
      <c r="J138" s="13"/>
      <c r="K138" s="29"/>
      <c r="L138" s="29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4"/>
      <c r="AJ138" s="24"/>
    </row>
    <row r="139" ht="15.75" customHeight="1">
      <c r="A139" s="29"/>
      <c r="B139" s="14"/>
      <c r="C139" s="14"/>
      <c r="D139" s="14"/>
      <c r="E139" s="14"/>
      <c r="F139" s="14"/>
      <c r="G139" s="13"/>
      <c r="H139" s="13"/>
      <c r="I139" s="13"/>
      <c r="J139" s="13"/>
      <c r="K139" s="29"/>
      <c r="L139" s="29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4"/>
      <c r="AJ139" s="24"/>
    </row>
    <row r="140" ht="15.75" customHeight="1">
      <c r="A140" s="29"/>
      <c r="B140" s="14"/>
      <c r="C140" s="14"/>
      <c r="D140" s="14"/>
      <c r="E140" s="14"/>
      <c r="F140" s="14"/>
      <c r="G140" s="13"/>
      <c r="H140" s="13"/>
      <c r="I140" s="13"/>
      <c r="J140" s="13"/>
      <c r="K140" s="29"/>
      <c r="L140" s="29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4"/>
      <c r="AJ140" s="24"/>
    </row>
    <row r="141" ht="15.75" customHeight="1">
      <c r="A141" s="29"/>
      <c r="B141" s="14"/>
      <c r="C141" s="14"/>
      <c r="D141" s="14"/>
      <c r="E141" s="14"/>
      <c r="F141" s="14"/>
      <c r="G141" s="13"/>
      <c r="H141" s="13"/>
      <c r="I141" s="13"/>
      <c r="J141" s="13"/>
      <c r="K141" s="29"/>
      <c r="L141" s="29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4"/>
      <c r="AJ141" s="24"/>
    </row>
    <row r="142" ht="15.75" customHeight="1">
      <c r="A142" s="29"/>
      <c r="B142" s="14"/>
      <c r="C142" s="14"/>
      <c r="D142" s="14"/>
      <c r="E142" s="14"/>
      <c r="F142" s="14"/>
      <c r="G142" s="13"/>
      <c r="H142" s="13"/>
      <c r="I142" s="13"/>
      <c r="J142" s="13"/>
      <c r="K142" s="29"/>
      <c r="L142" s="29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4"/>
      <c r="AJ142" s="24"/>
    </row>
    <row r="143" ht="15.75" customHeight="1">
      <c r="A143" s="29"/>
      <c r="B143" s="14"/>
      <c r="C143" s="14"/>
      <c r="D143" s="14"/>
      <c r="E143" s="14"/>
      <c r="F143" s="14"/>
      <c r="G143" s="13"/>
      <c r="H143" s="13"/>
      <c r="I143" s="13"/>
      <c r="J143" s="13"/>
      <c r="K143" s="29"/>
      <c r="L143" s="29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4"/>
      <c r="AJ143" s="24"/>
    </row>
    <row r="144" ht="15.75" customHeight="1">
      <c r="A144" s="29"/>
      <c r="B144" s="14"/>
      <c r="C144" s="14"/>
      <c r="D144" s="14"/>
      <c r="E144" s="14"/>
      <c r="F144" s="14"/>
      <c r="G144" s="13"/>
      <c r="H144" s="13"/>
      <c r="I144" s="13"/>
      <c r="J144" s="13"/>
      <c r="K144" s="29"/>
      <c r="L144" s="29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4"/>
      <c r="AJ144" s="24"/>
    </row>
    <row r="145" ht="15.75" customHeight="1">
      <c r="A145" s="29"/>
      <c r="B145" s="14"/>
      <c r="C145" s="14"/>
      <c r="D145" s="14"/>
      <c r="E145" s="14"/>
      <c r="F145" s="14"/>
      <c r="G145" s="13"/>
      <c r="H145" s="13"/>
      <c r="I145" s="13"/>
      <c r="J145" s="13"/>
      <c r="K145" s="29"/>
      <c r="L145" s="29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4"/>
      <c r="AJ145" s="24"/>
    </row>
    <row r="146" ht="15.75" customHeight="1">
      <c r="A146" s="29"/>
      <c r="B146" s="14"/>
      <c r="C146" s="14"/>
      <c r="D146" s="14"/>
      <c r="E146" s="14"/>
      <c r="F146" s="14"/>
      <c r="G146" s="13"/>
      <c r="H146" s="13"/>
      <c r="I146" s="13"/>
      <c r="J146" s="13"/>
      <c r="K146" s="29"/>
      <c r="L146" s="29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4"/>
      <c r="AJ146" s="24"/>
    </row>
    <row r="147" ht="15.75" customHeight="1">
      <c r="A147" s="29"/>
      <c r="B147" s="14"/>
      <c r="C147" s="14"/>
      <c r="D147" s="14"/>
      <c r="E147" s="14"/>
      <c r="F147" s="14"/>
      <c r="G147" s="13"/>
      <c r="H147" s="13"/>
      <c r="I147" s="13"/>
      <c r="J147" s="13"/>
      <c r="K147" s="29"/>
      <c r="L147" s="29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4"/>
      <c r="AJ147" s="24"/>
    </row>
    <row r="148" ht="15.75" customHeight="1">
      <c r="A148" s="29"/>
      <c r="B148" s="14"/>
      <c r="C148" s="14"/>
      <c r="D148" s="14"/>
      <c r="E148" s="14"/>
      <c r="F148" s="14"/>
      <c r="G148" s="13"/>
      <c r="H148" s="13"/>
      <c r="I148" s="13"/>
      <c r="J148" s="13"/>
      <c r="K148" s="29"/>
      <c r="L148" s="29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4"/>
      <c r="AJ148" s="24"/>
    </row>
    <row r="149" ht="15.75" customHeight="1">
      <c r="A149" s="29"/>
      <c r="B149" s="14"/>
      <c r="C149" s="14"/>
      <c r="D149" s="14"/>
      <c r="E149" s="14"/>
      <c r="F149" s="14"/>
      <c r="G149" s="13"/>
      <c r="H149" s="13"/>
      <c r="I149" s="13"/>
      <c r="J149" s="13"/>
      <c r="K149" s="29"/>
      <c r="L149" s="29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4"/>
      <c r="AJ149" s="24"/>
    </row>
    <row r="150" ht="15.75" customHeight="1">
      <c r="A150" s="29"/>
      <c r="B150" s="14"/>
      <c r="C150" s="14"/>
      <c r="D150" s="14"/>
      <c r="E150" s="14"/>
      <c r="F150" s="14"/>
      <c r="G150" s="13"/>
      <c r="H150" s="13"/>
      <c r="I150" s="13"/>
      <c r="J150" s="13"/>
      <c r="K150" s="29"/>
      <c r="L150" s="29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4"/>
      <c r="AJ150" s="24"/>
    </row>
    <row r="151" ht="15.75" customHeight="1">
      <c r="A151" s="29"/>
      <c r="B151" s="14"/>
      <c r="C151" s="14"/>
      <c r="D151" s="14"/>
      <c r="E151" s="14"/>
      <c r="F151" s="14"/>
      <c r="G151" s="13"/>
      <c r="H151" s="13"/>
      <c r="I151" s="13"/>
      <c r="J151" s="13"/>
      <c r="K151" s="29"/>
      <c r="L151" s="29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4"/>
      <c r="AJ151" s="24"/>
    </row>
    <row r="152" ht="15.75" customHeight="1">
      <c r="A152" s="29"/>
      <c r="B152" s="14"/>
      <c r="C152" s="14"/>
      <c r="D152" s="14"/>
      <c r="E152" s="14"/>
      <c r="F152" s="14"/>
      <c r="G152" s="13"/>
      <c r="H152" s="13"/>
      <c r="I152" s="13"/>
      <c r="J152" s="13"/>
      <c r="K152" s="29"/>
      <c r="L152" s="29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4"/>
      <c r="AJ152" s="24"/>
    </row>
    <row r="153" ht="15.75" customHeight="1">
      <c r="A153" s="29"/>
      <c r="B153" s="14"/>
      <c r="C153" s="14"/>
      <c r="D153" s="14"/>
      <c r="E153" s="14"/>
      <c r="F153" s="14"/>
      <c r="G153" s="13"/>
      <c r="H153" s="13"/>
      <c r="I153" s="13"/>
      <c r="J153" s="13"/>
      <c r="K153" s="29"/>
      <c r="L153" s="29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4"/>
      <c r="AJ153" s="24"/>
    </row>
    <row r="154" ht="15.75" customHeight="1">
      <c r="A154" s="29"/>
      <c r="B154" s="14"/>
      <c r="C154" s="14"/>
      <c r="D154" s="14"/>
      <c r="E154" s="14"/>
      <c r="F154" s="14"/>
      <c r="G154" s="13"/>
      <c r="H154" s="13"/>
      <c r="I154" s="13"/>
      <c r="J154" s="13"/>
      <c r="K154" s="29"/>
      <c r="L154" s="29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4"/>
      <c r="AJ154" s="24"/>
    </row>
    <row r="155" ht="15.75" customHeight="1">
      <c r="A155" s="29"/>
      <c r="B155" s="14"/>
      <c r="C155" s="14"/>
      <c r="D155" s="14"/>
      <c r="E155" s="14"/>
      <c r="F155" s="14"/>
      <c r="G155" s="13"/>
      <c r="H155" s="13"/>
      <c r="I155" s="13"/>
      <c r="J155" s="13"/>
      <c r="K155" s="29"/>
      <c r="L155" s="29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4"/>
      <c r="AJ155" s="24"/>
    </row>
    <row r="156" ht="15.75" customHeight="1">
      <c r="A156" s="29"/>
      <c r="B156" s="14"/>
      <c r="C156" s="14"/>
      <c r="D156" s="14"/>
      <c r="E156" s="14"/>
      <c r="F156" s="14"/>
      <c r="G156" s="13"/>
      <c r="H156" s="13"/>
      <c r="I156" s="13"/>
      <c r="J156" s="13"/>
      <c r="K156" s="29"/>
      <c r="L156" s="29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4"/>
      <c r="AJ156" s="24"/>
    </row>
    <row r="157" ht="15.75" customHeight="1">
      <c r="A157" s="29"/>
      <c r="B157" s="14"/>
      <c r="C157" s="14"/>
      <c r="D157" s="14"/>
      <c r="E157" s="14"/>
      <c r="F157" s="14"/>
      <c r="G157" s="13"/>
      <c r="H157" s="13"/>
      <c r="I157" s="13"/>
      <c r="J157" s="13"/>
      <c r="K157" s="29"/>
      <c r="L157" s="29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4"/>
      <c r="AJ157" s="24"/>
    </row>
    <row r="158" ht="15.75" customHeight="1">
      <c r="A158" s="29"/>
      <c r="B158" s="14"/>
      <c r="C158" s="14"/>
      <c r="D158" s="14"/>
      <c r="E158" s="14"/>
      <c r="F158" s="14"/>
      <c r="G158" s="13"/>
      <c r="H158" s="13"/>
      <c r="I158" s="13"/>
      <c r="J158" s="13"/>
      <c r="K158" s="29"/>
      <c r="L158" s="29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4"/>
      <c r="AJ158" s="24"/>
    </row>
    <row r="159" ht="15.75" customHeight="1">
      <c r="A159" s="29"/>
      <c r="B159" s="14"/>
      <c r="C159" s="14"/>
      <c r="D159" s="14"/>
      <c r="E159" s="14"/>
      <c r="F159" s="14"/>
      <c r="G159" s="13"/>
      <c r="H159" s="13"/>
      <c r="I159" s="13"/>
      <c r="J159" s="13"/>
      <c r="K159" s="29"/>
      <c r="L159" s="29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4"/>
      <c r="AJ159" s="24"/>
    </row>
    <row r="160" ht="15.75" customHeight="1">
      <c r="A160" s="29"/>
      <c r="B160" s="14"/>
      <c r="C160" s="14"/>
      <c r="D160" s="14"/>
      <c r="E160" s="14"/>
      <c r="F160" s="14"/>
      <c r="G160" s="13"/>
      <c r="H160" s="13"/>
      <c r="I160" s="13"/>
      <c r="J160" s="13"/>
      <c r="K160" s="29"/>
      <c r="L160" s="29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4"/>
      <c r="AJ160" s="24"/>
    </row>
    <row r="161" ht="15.75" customHeight="1">
      <c r="A161" s="29"/>
      <c r="B161" s="14"/>
      <c r="C161" s="14"/>
      <c r="D161" s="14"/>
      <c r="E161" s="14"/>
      <c r="F161" s="14"/>
      <c r="G161" s="13"/>
      <c r="H161" s="13"/>
      <c r="I161" s="13"/>
      <c r="J161" s="13"/>
      <c r="K161" s="29"/>
      <c r="L161" s="29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4"/>
      <c r="AJ161" s="24"/>
    </row>
    <row r="162" ht="15.75" customHeight="1">
      <c r="A162" s="29"/>
      <c r="B162" s="14"/>
      <c r="C162" s="14"/>
      <c r="D162" s="14"/>
      <c r="E162" s="14"/>
      <c r="F162" s="14"/>
      <c r="G162" s="13"/>
      <c r="H162" s="13"/>
      <c r="I162" s="13"/>
      <c r="J162" s="13"/>
      <c r="K162" s="29"/>
      <c r="L162" s="29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4"/>
      <c r="AJ162" s="24"/>
    </row>
    <row r="163" ht="15.75" customHeight="1">
      <c r="A163" s="29"/>
      <c r="B163" s="14"/>
      <c r="C163" s="14"/>
      <c r="D163" s="14"/>
      <c r="E163" s="14"/>
      <c r="F163" s="14"/>
      <c r="G163" s="13"/>
      <c r="H163" s="13"/>
      <c r="I163" s="13"/>
      <c r="J163" s="13"/>
      <c r="K163" s="29"/>
      <c r="L163" s="29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4"/>
      <c r="AJ163" s="24"/>
    </row>
    <row r="164" ht="15.75" customHeight="1">
      <c r="A164" s="29"/>
      <c r="B164" s="14"/>
      <c r="C164" s="14"/>
      <c r="D164" s="14"/>
      <c r="E164" s="14"/>
      <c r="F164" s="14"/>
      <c r="G164" s="13"/>
      <c r="H164" s="13"/>
      <c r="I164" s="13"/>
      <c r="J164" s="13"/>
      <c r="K164" s="29"/>
      <c r="L164" s="29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4"/>
      <c r="AJ164" s="24"/>
    </row>
    <row r="165" ht="15.75" customHeight="1">
      <c r="A165" s="29"/>
      <c r="B165" s="14"/>
      <c r="C165" s="14"/>
      <c r="D165" s="14"/>
      <c r="E165" s="14"/>
      <c r="F165" s="14"/>
      <c r="G165" s="13"/>
      <c r="H165" s="13"/>
      <c r="I165" s="13"/>
      <c r="J165" s="13"/>
      <c r="K165" s="29"/>
      <c r="L165" s="29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4"/>
      <c r="AJ165" s="24"/>
    </row>
    <row r="166" ht="15.75" customHeight="1">
      <c r="A166" s="29"/>
      <c r="B166" s="14"/>
      <c r="C166" s="14"/>
      <c r="D166" s="14"/>
      <c r="E166" s="14"/>
      <c r="F166" s="14"/>
      <c r="G166" s="13"/>
      <c r="H166" s="13"/>
      <c r="I166" s="13"/>
      <c r="J166" s="13"/>
      <c r="K166" s="29"/>
      <c r="L166" s="29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4"/>
      <c r="AJ166" s="24"/>
    </row>
    <row r="167" ht="15.75" customHeight="1">
      <c r="A167" s="29"/>
      <c r="B167" s="14"/>
      <c r="C167" s="14"/>
      <c r="D167" s="14"/>
      <c r="E167" s="14"/>
      <c r="F167" s="14"/>
      <c r="G167" s="13"/>
      <c r="H167" s="13"/>
      <c r="I167" s="13"/>
      <c r="J167" s="13"/>
      <c r="K167" s="29"/>
      <c r="L167" s="29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4"/>
      <c r="AJ167" s="24"/>
    </row>
    <row r="168" ht="15.75" customHeight="1">
      <c r="A168" s="29"/>
      <c r="B168" s="14"/>
      <c r="C168" s="14"/>
      <c r="D168" s="14"/>
      <c r="E168" s="14"/>
      <c r="F168" s="14"/>
      <c r="G168" s="13"/>
      <c r="H168" s="13"/>
      <c r="I168" s="13"/>
      <c r="J168" s="13"/>
      <c r="K168" s="29"/>
      <c r="L168" s="29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4"/>
      <c r="AJ168" s="24"/>
    </row>
    <row r="169" ht="15.75" customHeight="1">
      <c r="A169" s="29"/>
      <c r="B169" s="14"/>
      <c r="C169" s="14"/>
      <c r="D169" s="14"/>
      <c r="E169" s="14"/>
      <c r="F169" s="14"/>
      <c r="G169" s="13"/>
      <c r="H169" s="13"/>
      <c r="I169" s="13"/>
      <c r="J169" s="13"/>
      <c r="K169" s="29"/>
      <c r="L169" s="29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4"/>
      <c r="AJ169" s="24"/>
    </row>
    <row r="170" ht="15.75" customHeight="1">
      <c r="A170" s="29"/>
      <c r="B170" s="14"/>
      <c r="C170" s="14"/>
      <c r="D170" s="14"/>
      <c r="E170" s="14"/>
      <c r="F170" s="14"/>
      <c r="G170" s="13"/>
      <c r="H170" s="13"/>
      <c r="I170" s="13"/>
      <c r="J170" s="13"/>
      <c r="K170" s="29"/>
      <c r="L170" s="29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4"/>
      <c r="AJ170" s="24"/>
    </row>
    <row r="171" ht="15.75" customHeight="1">
      <c r="A171" s="29"/>
      <c r="B171" s="14"/>
      <c r="C171" s="14"/>
      <c r="D171" s="14"/>
      <c r="E171" s="14"/>
      <c r="F171" s="14"/>
      <c r="G171" s="13"/>
      <c r="H171" s="13"/>
      <c r="I171" s="13"/>
      <c r="J171" s="13"/>
      <c r="K171" s="29"/>
      <c r="L171" s="29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4"/>
      <c r="AJ171" s="24"/>
    </row>
    <row r="172" ht="15.75" customHeight="1">
      <c r="A172" s="29"/>
      <c r="B172" s="14"/>
      <c r="C172" s="14"/>
      <c r="D172" s="14"/>
      <c r="E172" s="14"/>
      <c r="F172" s="14"/>
      <c r="G172" s="13"/>
      <c r="H172" s="13"/>
      <c r="I172" s="13"/>
      <c r="J172" s="13"/>
      <c r="K172" s="29"/>
      <c r="L172" s="29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4"/>
      <c r="AJ172" s="24"/>
    </row>
    <row r="173" ht="15.75" customHeight="1">
      <c r="A173" s="29"/>
      <c r="B173" s="14"/>
      <c r="C173" s="14"/>
      <c r="D173" s="14"/>
      <c r="E173" s="14"/>
      <c r="F173" s="14"/>
      <c r="G173" s="13"/>
      <c r="H173" s="13"/>
      <c r="I173" s="13"/>
      <c r="J173" s="13"/>
      <c r="K173" s="29"/>
      <c r="L173" s="29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4"/>
      <c r="AJ173" s="24"/>
    </row>
    <row r="174" ht="15.75" customHeight="1">
      <c r="A174" s="29"/>
      <c r="B174" s="14"/>
      <c r="C174" s="14"/>
      <c r="D174" s="14"/>
      <c r="E174" s="14"/>
      <c r="F174" s="14"/>
      <c r="G174" s="13"/>
      <c r="H174" s="13"/>
      <c r="I174" s="13"/>
      <c r="J174" s="13"/>
      <c r="K174" s="29"/>
      <c r="L174" s="29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4"/>
      <c r="AJ174" s="24"/>
    </row>
    <row r="175" ht="15.75" customHeight="1">
      <c r="A175" s="29"/>
      <c r="B175" s="14"/>
      <c r="C175" s="14"/>
      <c r="D175" s="14"/>
      <c r="E175" s="14"/>
      <c r="F175" s="14"/>
      <c r="G175" s="13"/>
      <c r="H175" s="13"/>
      <c r="I175" s="13"/>
      <c r="J175" s="13"/>
      <c r="K175" s="29"/>
      <c r="L175" s="29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4"/>
      <c r="AJ175" s="24"/>
    </row>
    <row r="176" ht="15.75" customHeight="1">
      <c r="A176" s="29"/>
      <c r="B176" s="14"/>
      <c r="C176" s="14"/>
      <c r="D176" s="14"/>
      <c r="E176" s="14"/>
      <c r="F176" s="14"/>
      <c r="G176" s="13"/>
      <c r="H176" s="13"/>
      <c r="I176" s="13"/>
      <c r="J176" s="13"/>
      <c r="K176" s="29"/>
      <c r="L176" s="29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4"/>
      <c r="AJ176" s="24"/>
    </row>
    <row r="177" ht="15.75" customHeight="1">
      <c r="A177" s="29"/>
      <c r="B177" s="14"/>
      <c r="C177" s="14"/>
      <c r="D177" s="14"/>
      <c r="E177" s="14"/>
      <c r="F177" s="14"/>
      <c r="G177" s="13"/>
      <c r="H177" s="13"/>
      <c r="I177" s="13"/>
      <c r="J177" s="13"/>
      <c r="K177" s="29"/>
      <c r="L177" s="29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4"/>
      <c r="AJ177" s="24"/>
    </row>
    <row r="178" ht="15.75" customHeight="1">
      <c r="A178" s="29"/>
      <c r="B178" s="14"/>
      <c r="C178" s="14"/>
      <c r="D178" s="14"/>
      <c r="E178" s="14"/>
      <c r="F178" s="14"/>
      <c r="G178" s="13"/>
      <c r="H178" s="13"/>
      <c r="I178" s="13"/>
      <c r="J178" s="13"/>
      <c r="K178" s="29"/>
      <c r="L178" s="29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4"/>
      <c r="AJ178" s="24"/>
    </row>
    <row r="179" ht="15.75" customHeight="1">
      <c r="A179" s="29"/>
      <c r="B179" s="14"/>
      <c r="C179" s="14"/>
      <c r="D179" s="14"/>
      <c r="E179" s="14"/>
      <c r="F179" s="14"/>
      <c r="G179" s="13"/>
      <c r="H179" s="13"/>
      <c r="I179" s="13"/>
      <c r="J179" s="13"/>
      <c r="K179" s="29"/>
      <c r="L179" s="29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4"/>
      <c r="AJ179" s="24"/>
    </row>
    <row r="180" ht="15.75" customHeight="1">
      <c r="A180" s="29"/>
      <c r="B180" s="14"/>
      <c r="C180" s="14"/>
      <c r="D180" s="14"/>
      <c r="E180" s="14"/>
      <c r="F180" s="14"/>
      <c r="G180" s="13"/>
      <c r="H180" s="13"/>
      <c r="I180" s="13"/>
      <c r="J180" s="13"/>
      <c r="K180" s="29"/>
      <c r="L180" s="29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4"/>
      <c r="AJ180" s="24"/>
    </row>
    <row r="181" ht="15.75" customHeight="1">
      <c r="A181" s="29"/>
      <c r="B181" s="14"/>
      <c r="C181" s="14"/>
      <c r="D181" s="14"/>
      <c r="E181" s="14"/>
      <c r="F181" s="14"/>
      <c r="G181" s="13"/>
      <c r="H181" s="13"/>
      <c r="I181" s="13"/>
      <c r="J181" s="13"/>
      <c r="K181" s="29"/>
      <c r="L181" s="29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4"/>
      <c r="AJ181" s="24"/>
    </row>
    <row r="182" ht="15.75" customHeight="1">
      <c r="A182" s="29"/>
      <c r="B182" s="14"/>
      <c r="C182" s="14"/>
      <c r="D182" s="14"/>
      <c r="E182" s="14"/>
      <c r="F182" s="14"/>
      <c r="G182" s="13"/>
      <c r="H182" s="13"/>
      <c r="I182" s="13"/>
      <c r="J182" s="13"/>
      <c r="K182" s="29"/>
      <c r="L182" s="29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4"/>
      <c r="AJ182" s="24"/>
    </row>
    <row r="183" ht="15.75" customHeight="1">
      <c r="A183" s="29"/>
      <c r="B183" s="14"/>
      <c r="C183" s="14"/>
      <c r="D183" s="14"/>
      <c r="E183" s="14"/>
      <c r="F183" s="14"/>
      <c r="G183" s="13"/>
      <c r="H183" s="13"/>
      <c r="I183" s="13"/>
      <c r="J183" s="13"/>
      <c r="K183" s="29"/>
      <c r="L183" s="29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4"/>
      <c r="AJ183" s="24"/>
    </row>
    <row r="184" ht="15.75" customHeight="1">
      <c r="A184" s="29"/>
      <c r="B184" s="14"/>
      <c r="C184" s="14"/>
      <c r="D184" s="14"/>
      <c r="E184" s="14"/>
      <c r="F184" s="14"/>
      <c r="G184" s="13"/>
      <c r="H184" s="13"/>
      <c r="I184" s="13"/>
      <c r="J184" s="13"/>
      <c r="K184" s="29"/>
      <c r="L184" s="29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4"/>
      <c r="AJ184" s="24"/>
    </row>
    <row r="185" ht="15.75" customHeight="1">
      <c r="A185" s="29"/>
      <c r="B185" s="14"/>
      <c r="C185" s="14"/>
      <c r="D185" s="14"/>
      <c r="E185" s="14"/>
      <c r="F185" s="14"/>
      <c r="G185" s="13"/>
      <c r="H185" s="13"/>
      <c r="I185" s="13"/>
      <c r="J185" s="13"/>
      <c r="K185" s="29"/>
      <c r="L185" s="29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4"/>
      <c r="AJ185" s="24"/>
    </row>
    <row r="186" ht="15.75" customHeight="1">
      <c r="A186" s="29"/>
      <c r="B186" s="14"/>
      <c r="C186" s="14"/>
      <c r="D186" s="14"/>
      <c r="E186" s="14"/>
      <c r="F186" s="14"/>
      <c r="G186" s="13"/>
      <c r="H186" s="13"/>
      <c r="I186" s="13"/>
      <c r="J186" s="13"/>
      <c r="K186" s="29"/>
      <c r="L186" s="29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4"/>
      <c r="AJ186" s="24"/>
    </row>
    <row r="187" ht="15.75" customHeight="1">
      <c r="A187" s="29"/>
      <c r="B187" s="14"/>
      <c r="C187" s="14"/>
      <c r="D187" s="14"/>
      <c r="E187" s="14"/>
      <c r="F187" s="14"/>
      <c r="G187" s="13"/>
      <c r="H187" s="13"/>
      <c r="I187" s="13"/>
      <c r="J187" s="13"/>
      <c r="K187" s="29"/>
      <c r="L187" s="29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4"/>
      <c r="AJ187" s="24"/>
    </row>
    <row r="188" ht="15.75" customHeight="1">
      <c r="A188" s="29"/>
      <c r="B188" s="14"/>
      <c r="C188" s="14"/>
      <c r="D188" s="14"/>
      <c r="E188" s="14"/>
      <c r="F188" s="14"/>
      <c r="G188" s="13"/>
      <c r="H188" s="13"/>
      <c r="I188" s="13"/>
      <c r="J188" s="13"/>
      <c r="K188" s="29"/>
      <c r="L188" s="29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4"/>
      <c r="AJ188" s="24"/>
    </row>
    <row r="189" ht="15.75" customHeight="1">
      <c r="A189" s="29"/>
      <c r="B189" s="14"/>
      <c r="C189" s="14"/>
      <c r="D189" s="14"/>
      <c r="E189" s="14"/>
      <c r="F189" s="14"/>
      <c r="G189" s="13"/>
      <c r="H189" s="13"/>
      <c r="I189" s="13"/>
      <c r="J189" s="13"/>
      <c r="K189" s="29"/>
      <c r="L189" s="29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4"/>
      <c r="AJ189" s="24"/>
    </row>
    <row r="190" ht="15.75" customHeight="1">
      <c r="A190" s="29"/>
      <c r="B190" s="14"/>
      <c r="C190" s="14"/>
      <c r="D190" s="14"/>
      <c r="E190" s="14"/>
      <c r="F190" s="14"/>
      <c r="G190" s="13"/>
      <c r="H190" s="13"/>
      <c r="I190" s="13"/>
      <c r="J190" s="13"/>
      <c r="K190" s="29"/>
      <c r="L190" s="29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4"/>
      <c r="AJ190" s="24"/>
    </row>
    <row r="191" ht="15.75" customHeight="1">
      <c r="A191" s="29"/>
      <c r="B191" s="14"/>
      <c r="C191" s="14"/>
      <c r="D191" s="14"/>
      <c r="E191" s="14"/>
      <c r="F191" s="14"/>
      <c r="G191" s="13"/>
      <c r="H191" s="13"/>
      <c r="I191" s="13"/>
      <c r="J191" s="13"/>
      <c r="K191" s="29"/>
      <c r="L191" s="29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4"/>
      <c r="AJ191" s="24"/>
    </row>
    <row r="192" ht="15.75" customHeight="1">
      <c r="A192" s="29"/>
      <c r="B192" s="14"/>
      <c r="C192" s="14"/>
      <c r="D192" s="14"/>
      <c r="E192" s="14"/>
      <c r="F192" s="14"/>
      <c r="G192" s="13"/>
      <c r="H192" s="13"/>
      <c r="I192" s="13"/>
      <c r="J192" s="13"/>
      <c r="K192" s="29"/>
      <c r="L192" s="29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4"/>
      <c r="AJ192" s="24"/>
    </row>
    <row r="193" ht="15.75" customHeight="1">
      <c r="A193" s="29"/>
      <c r="B193" s="14"/>
      <c r="C193" s="14"/>
      <c r="D193" s="14"/>
      <c r="E193" s="14"/>
      <c r="F193" s="14"/>
      <c r="G193" s="13"/>
      <c r="H193" s="13"/>
      <c r="I193" s="13"/>
      <c r="J193" s="13"/>
      <c r="K193" s="29"/>
      <c r="L193" s="29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4"/>
      <c r="AJ193" s="24"/>
    </row>
    <row r="194" ht="15.75" customHeight="1">
      <c r="A194" s="29"/>
      <c r="B194" s="14"/>
      <c r="C194" s="14"/>
      <c r="D194" s="14"/>
      <c r="E194" s="14"/>
      <c r="F194" s="14"/>
      <c r="G194" s="13"/>
      <c r="H194" s="13"/>
      <c r="I194" s="13"/>
      <c r="J194" s="13"/>
      <c r="K194" s="29"/>
      <c r="L194" s="29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4"/>
      <c r="AJ194" s="24"/>
    </row>
    <row r="195" ht="15.75" customHeight="1">
      <c r="A195" s="29"/>
      <c r="B195" s="14"/>
      <c r="C195" s="14"/>
      <c r="D195" s="14"/>
      <c r="E195" s="14"/>
      <c r="F195" s="14"/>
      <c r="G195" s="13"/>
      <c r="H195" s="13"/>
      <c r="I195" s="13"/>
      <c r="J195" s="13"/>
      <c r="K195" s="29"/>
      <c r="L195" s="29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4"/>
      <c r="AJ195" s="24"/>
    </row>
    <row r="196" ht="15.75" customHeight="1">
      <c r="A196" s="29"/>
      <c r="B196" s="14"/>
      <c r="C196" s="14"/>
      <c r="D196" s="14"/>
      <c r="E196" s="14"/>
      <c r="F196" s="14"/>
      <c r="G196" s="13"/>
      <c r="H196" s="13"/>
      <c r="I196" s="13"/>
      <c r="J196" s="13"/>
      <c r="K196" s="29"/>
      <c r="L196" s="29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4"/>
      <c r="AJ196" s="24"/>
    </row>
    <row r="197" ht="15.75" customHeight="1">
      <c r="A197" s="29"/>
      <c r="B197" s="14"/>
      <c r="C197" s="14"/>
      <c r="D197" s="14"/>
      <c r="E197" s="14"/>
      <c r="F197" s="14"/>
      <c r="G197" s="13"/>
      <c r="H197" s="13"/>
      <c r="I197" s="13"/>
      <c r="J197" s="13"/>
      <c r="K197" s="29"/>
      <c r="L197" s="29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4"/>
      <c r="AJ197" s="24"/>
    </row>
    <row r="198" ht="15.75" customHeight="1">
      <c r="A198" s="29"/>
      <c r="B198" s="14"/>
      <c r="C198" s="14"/>
      <c r="D198" s="14"/>
      <c r="E198" s="14"/>
      <c r="F198" s="14"/>
      <c r="G198" s="13"/>
      <c r="H198" s="13"/>
      <c r="I198" s="13"/>
      <c r="J198" s="13"/>
      <c r="K198" s="29"/>
      <c r="L198" s="29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4"/>
      <c r="AJ198" s="24"/>
    </row>
    <row r="199" ht="15.75" customHeight="1">
      <c r="A199" s="29"/>
      <c r="B199" s="14"/>
      <c r="C199" s="14"/>
      <c r="D199" s="14"/>
      <c r="E199" s="14"/>
      <c r="F199" s="14"/>
      <c r="G199" s="13"/>
      <c r="H199" s="13"/>
      <c r="I199" s="13"/>
      <c r="J199" s="13"/>
      <c r="K199" s="29"/>
      <c r="L199" s="29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4"/>
      <c r="AJ199" s="24"/>
    </row>
    <row r="200" ht="15.75" customHeight="1">
      <c r="A200" s="29"/>
      <c r="B200" s="14"/>
      <c r="C200" s="14"/>
      <c r="D200" s="14"/>
      <c r="E200" s="14"/>
      <c r="F200" s="14"/>
      <c r="G200" s="13"/>
      <c r="H200" s="13"/>
      <c r="I200" s="13"/>
      <c r="J200" s="13"/>
      <c r="K200" s="29"/>
      <c r="L200" s="29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4"/>
      <c r="AJ200" s="24"/>
    </row>
    <row r="201" ht="15.75" customHeight="1">
      <c r="A201" s="29"/>
      <c r="B201" s="14"/>
      <c r="C201" s="14"/>
      <c r="D201" s="14"/>
      <c r="E201" s="14"/>
      <c r="F201" s="14"/>
      <c r="G201" s="13"/>
      <c r="H201" s="13"/>
      <c r="I201" s="13"/>
      <c r="J201" s="13"/>
      <c r="K201" s="29"/>
      <c r="L201" s="29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4"/>
      <c r="AJ201" s="24"/>
    </row>
    <row r="202" ht="15.75" customHeight="1">
      <c r="A202" s="29"/>
      <c r="B202" s="14"/>
      <c r="C202" s="14"/>
      <c r="D202" s="14"/>
      <c r="E202" s="14"/>
      <c r="F202" s="14"/>
      <c r="G202" s="13"/>
      <c r="H202" s="13"/>
      <c r="I202" s="13"/>
      <c r="J202" s="13"/>
      <c r="K202" s="29"/>
      <c r="L202" s="29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4"/>
      <c r="AJ202" s="24"/>
    </row>
    <row r="203" ht="15.75" customHeight="1">
      <c r="A203" s="29"/>
      <c r="B203" s="14"/>
      <c r="C203" s="14"/>
      <c r="D203" s="14"/>
      <c r="E203" s="14"/>
      <c r="F203" s="14"/>
      <c r="G203" s="13"/>
      <c r="H203" s="13"/>
      <c r="I203" s="13"/>
      <c r="J203" s="13"/>
      <c r="K203" s="29"/>
      <c r="L203" s="29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4"/>
      <c r="AJ203" s="24"/>
    </row>
    <row r="204" ht="15.75" customHeight="1">
      <c r="A204" s="29"/>
      <c r="B204" s="14"/>
      <c r="C204" s="14"/>
      <c r="D204" s="14"/>
      <c r="E204" s="14"/>
      <c r="F204" s="14"/>
      <c r="G204" s="13"/>
      <c r="H204" s="13"/>
      <c r="I204" s="13"/>
      <c r="J204" s="13"/>
      <c r="K204" s="29"/>
      <c r="L204" s="29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4"/>
      <c r="AJ204" s="24"/>
    </row>
    <row r="205" ht="15.75" customHeight="1">
      <c r="A205" s="29"/>
      <c r="B205" s="14"/>
      <c r="C205" s="14"/>
      <c r="D205" s="14"/>
      <c r="E205" s="14"/>
      <c r="F205" s="14"/>
      <c r="G205" s="13"/>
      <c r="H205" s="13"/>
      <c r="I205" s="13"/>
      <c r="J205" s="13"/>
      <c r="K205" s="29"/>
      <c r="L205" s="29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4"/>
      <c r="AJ205" s="24"/>
    </row>
    <row r="206" ht="15.75" customHeight="1">
      <c r="A206" s="29"/>
      <c r="B206" s="14"/>
      <c r="C206" s="14"/>
      <c r="D206" s="14"/>
      <c r="E206" s="14"/>
      <c r="F206" s="14"/>
      <c r="G206" s="13"/>
      <c r="H206" s="13"/>
      <c r="I206" s="13"/>
      <c r="J206" s="13"/>
      <c r="K206" s="29"/>
      <c r="L206" s="29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4"/>
      <c r="AJ206" s="24"/>
    </row>
    <row r="207" ht="15.75" customHeight="1">
      <c r="A207" s="29"/>
      <c r="B207" s="14"/>
      <c r="C207" s="14"/>
      <c r="D207" s="14"/>
      <c r="E207" s="14"/>
      <c r="F207" s="14"/>
      <c r="G207" s="13"/>
      <c r="H207" s="13"/>
      <c r="I207" s="13"/>
      <c r="J207" s="13"/>
      <c r="K207" s="29"/>
      <c r="L207" s="29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4"/>
      <c r="AJ207" s="24"/>
    </row>
    <row r="208" ht="15.75" customHeight="1">
      <c r="A208" s="29"/>
      <c r="B208" s="14"/>
      <c r="C208" s="14"/>
      <c r="D208" s="14"/>
      <c r="E208" s="14"/>
      <c r="F208" s="14"/>
      <c r="G208" s="13"/>
      <c r="H208" s="13"/>
      <c r="I208" s="13"/>
      <c r="J208" s="13"/>
      <c r="K208" s="29"/>
      <c r="L208" s="29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4"/>
      <c r="AJ208" s="24"/>
    </row>
    <row r="209" ht="15.75" customHeight="1">
      <c r="A209" s="29"/>
      <c r="B209" s="14"/>
      <c r="C209" s="14"/>
      <c r="D209" s="14"/>
      <c r="E209" s="14"/>
      <c r="F209" s="14"/>
      <c r="G209" s="13"/>
      <c r="H209" s="13"/>
      <c r="I209" s="13"/>
      <c r="J209" s="13"/>
      <c r="K209" s="29"/>
      <c r="L209" s="29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4"/>
      <c r="AJ209" s="24"/>
    </row>
    <row r="210" ht="15.75" customHeight="1">
      <c r="A210" s="29"/>
      <c r="B210" s="14"/>
      <c r="C210" s="14"/>
      <c r="D210" s="14"/>
      <c r="E210" s="14"/>
      <c r="F210" s="14"/>
      <c r="G210" s="13"/>
      <c r="H210" s="13"/>
      <c r="I210" s="13"/>
      <c r="J210" s="13"/>
      <c r="K210" s="29"/>
      <c r="L210" s="29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4"/>
      <c r="AJ210" s="24"/>
    </row>
    <row r="211" ht="15.75" customHeight="1">
      <c r="A211" s="29"/>
      <c r="B211" s="14"/>
      <c r="C211" s="14"/>
      <c r="D211" s="14"/>
      <c r="E211" s="14"/>
      <c r="F211" s="14"/>
      <c r="G211" s="13"/>
      <c r="H211" s="13"/>
      <c r="I211" s="13"/>
      <c r="J211" s="13"/>
      <c r="K211" s="29"/>
      <c r="L211" s="29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4"/>
      <c r="AJ211" s="24"/>
    </row>
    <row r="212" ht="15.75" customHeight="1">
      <c r="A212" s="29"/>
      <c r="B212" s="14"/>
      <c r="C212" s="14"/>
      <c r="D212" s="14"/>
      <c r="E212" s="14"/>
      <c r="F212" s="14"/>
      <c r="G212" s="13"/>
      <c r="H212" s="13"/>
      <c r="I212" s="13"/>
      <c r="J212" s="13"/>
      <c r="K212" s="29"/>
      <c r="L212" s="29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4"/>
      <c r="AJ212" s="24"/>
    </row>
    <row r="213" ht="15.75" customHeight="1">
      <c r="A213" s="29"/>
      <c r="B213" s="14"/>
      <c r="C213" s="14"/>
      <c r="D213" s="14"/>
      <c r="E213" s="14"/>
      <c r="F213" s="14"/>
      <c r="G213" s="13"/>
      <c r="H213" s="13"/>
      <c r="I213" s="13"/>
      <c r="J213" s="13"/>
      <c r="K213" s="29"/>
      <c r="L213" s="29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4"/>
      <c r="AJ213" s="24"/>
    </row>
    <row r="214" ht="15.75" customHeight="1">
      <c r="A214" s="29"/>
      <c r="B214" s="14"/>
      <c r="C214" s="14"/>
      <c r="D214" s="14"/>
      <c r="E214" s="14"/>
      <c r="F214" s="14"/>
      <c r="G214" s="13"/>
      <c r="H214" s="13"/>
      <c r="I214" s="13"/>
      <c r="J214" s="13"/>
      <c r="K214" s="29"/>
      <c r="L214" s="29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4"/>
      <c r="AJ214" s="24"/>
    </row>
    <row r="215" ht="15.75" customHeight="1">
      <c r="A215" s="29"/>
      <c r="B215" s="14"/>
      <c r="C215" s="14"/>
      <c r="D215" s="14"/>
      <c r="E215" s="14"/>
      <c r="F215" s="14"/>
      <c r="G215" s="13"/>
      <c r="H215" s="13"/>
      <c r="I215" s="13"/>
      <c r="J215" s="13"/>
      <c r="K215" s="29"/>
      <c r="L215" s="29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4"/>
      <c r="AJ215" s="24"/>
    </row>
    <row r="216" ht="15.75" customHeight="1">
      <c r="A216" s="29"/>
      <c r="B216" s="14"/>
      <c r="C216" s="14"/>
      <c r="D216" s="14"/>
      <c r="E216" s="14"/>
      <c r="F216" s="14"/>
      <c r="G216" s="13"/>
      <c r="H216" s="13"/>
      <c r="I216" s="13"/>
      <c r="J216" s="13"/>
      <c r="K216" s="29"/>
      <c r="L216" s="29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4"/>
      <c r="AJ216" s="24"/>
    </row>
    <row r="217" ht="15.75" customHeight="1">
      <c r="A217" s="29"/>
      <c r="B217" s="14"/>
      <c r="C217" s="14"/>
      <c r="D217" s="14"/>
      <c r="E217" s="14"/>
      <c r="F217" s="14"/>
      <c r="G217" s="13"/>
      <c r="H217" s="13"/>
      <c r="I217" s="13"/>
      <c r="J217" s="13"/>
      <c r="K217" s="29"/>
      <c r="L217" s="29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4"/>
      <c r="AJ217" s="24"/>
    </row>
    <row r="218" ht="15.75" customHeight="1">
      <c r="A218" s="29"/>
      <c r="B218" s="14"/>
      <c r="C218" s="14"/>
      <c r="D218" s="14"/>
      <c r="E218" s="14"/>
      <c r="F218" s="14"/>
      <c r="G218" s="13"/>
      <c r="H218" s="13"/>
      <c r="I218" s="13"/>
      <c r="J218" s="13"/>
      <c r="K218" s="29"/>
      <c r="L218" s="29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4"/>
      <c r="AJ218" s="24"/>
    </row>
    <row r="219" ht="15.75" customHeight="1">
      <c r="A219" s="29"/>
      <c r="B219" s="14"/>
      <c r="C219" s="14"/>
      <c r="D219" s="14"/>
      <c r="E219" s="14"/>
      <c r="F219" s="14"/>
      <c r="G219" s="13"/>
      <c r="H219" s="13"/>
      <c r="I219" s="13"/>
      <c r="J219" s="13"/>
      <c r="K219" s="29"/>
      <c r="L219" s="29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4"/>
      <c r="AJ219" s="24"/>
    </row>
    <row r="220" ht="15.75" customHeight="1">
      <c r="A220" s="29"/>
      <c r="B220" s="14"/>
      <c r="C220" s="14"/>
      <c r="D220" s="14"/>
      <c r="E220" s="14"/>
      <c r="F220" s="14"/>
      <c r="G220" s="13"/>
      <c r="H220" s="13"/>
      <c r="I220" s="13"/>
      <c r="J220" s="13"/>
      <c r="K220" s="29"/>
      <c r="L220" s="29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4"/>
      <c r="AJ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548</v>
      </c>
      <c r="B1" s="2" t="s">
        <v>549</v>
      </c>
      <c r="C1" s="2" t="s">
        <v>550</v>
      </c>
      <c r="D1" s="2" t="s">
        <v>551</v>
      </c>
      <c r="E1" s="2" t="s">
        <v>552</v>
      </c>
      <c r="F1" s="2" t="s">
        <v>553</v>
      </c>
      <c r="G1" s="1" t="s">
        <v>192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  <c r="M1" s="1" t="s">
        <v>579</v>
      </c>
      <c r="N1" s="1" t="s">
        <v>580</v>
      </c>
      <c r="O1" s="1" t="s">
        <v>581</v>
      </c>
      <c r="P1" s="1" t="s">
        <v>582</v>
      </c>
      <c r="Q1" s="25" t="s">
        <v>583</v>
      </c>
      <c r="R1" s="1" t="s">
        <v>584</v>
      </c>
      <c r="S1" s="1" t="s">
        <v>585</v>
      </c>
      <c r="T1" s="1" t="s">
        <v>586</v>
      </c>
      <c r="U1" s="1" t="s">
        <v>587</v>
      </c>
      <c r="V1" s="1" t="s">
        <v>588</v>
      </c>
      <c r="W1" s="1" t="s">
        <v>589</v>
      </c>
      <c r="X1" s="1" t="s">
        <v>564</v>
      </c>
      <c r="Y1" s="1" t="s">
        <v>590</v>
      </c>
      <c r="Z1" s="1" t="s">
        <v>591</v>
      </c>
      <c r="AA1" s="1" t="s">
        <v>592</v>
      </c>
      <c r="AB1" s="1" t="s">
        <v>567</v>
      </c>
      <c r="AC1" s="1" t="s">
        <v>593</v>
      </c>
      <c r="AD1" s="1" t="s">
        <v>594</v>
      </c>
      <c r="AE1" s="1" t="s">
        <v>595</v>
      </c>
      <c r="AF1" s="1" t="s">
        <v>596</v>
      </c>
      <c r="AG1" s="1" t="s">
        <v>597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598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13">
        <f>IF($A2="", -1, $F2)</f>
        <v>0</v>
      </c>
      <c r="N2" s="13">
        <f>IF($A2="", -1, $E2)</f>
        <v>0</v>
      </c>
      <c r="O2" s="13">
        <f>IF($A2="", -1, $D2)</f>
        <v>0</v>
      </c>
      <c r="P2" s="13">
        <f>IF($A2="", -1, $M2-1)</f>
        <v>-1</v>
      </c>
      <c r="Q2" s="13">
        <f>IF($A2="", -1, $N2-1)</f>
        <v>-1</v>
      </c>
      <c r="R2" s="13">
        <f>IF($A2="", -1, $O2-1)</f>
        <v>-1</v>
      </c>
      <c r="S2" s="13">
        <f>IF($A2="", -1, $M2+1)</f>
        <v>1</v>
      </c>
      <c r="T2" s="13">
        <f>IF($A2="", -1, $N2+1)</f>
        <v>1</v>
      </c>
      <c r="U2" s="13">
        <f>IF($A2="", -1, $O2+1)</f>
        <v>1</v>
      </c>
      <c r="V2" s="13">
        <f>README!$B$49</f>
        <v>-1</v>
      </c>
      <c r="W2" s="13">
        <f>README!$B$38</f>
        <v>-1</v>
      </c>
      <c r="X2" s="13">
        <f>README!$H$2</f>
        <v>-1</v>
      </c>
      <c r="Y2" s="13">
        <v>0.0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README!$B$14, 0)</f>
        <v>-1, 0</v>
      </c>
      <c r="AD2" s="13" t="str">
        <f>JOIN(", ", README!$L$2, README!$B$27, -1, README!$B$9, 0)</f>
        <v>-1, -1, -1, -1, 0</v>
      </c>
      <c r="AE2" s="13" t="str">
        <f>JOIN(", ", README!$L$2, README!$B$27, -1, README!$B$9, 0)</f>
        <v>-1, -1, -1, -1, 0</v>
      </c>
      <c r="AF2" s="13" t="str">
        <f>JOIN(", ", README!$L$3, README!$B$27, -1, README!$B$10, 0)</f>
        <v>0, -1, -1, 0, 0</v>
      </c>
      <c r="AG2" s="13" t="str">
        <f>JOIN(", ", README!$L$15, README!$B$27,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13"/>
      <c r="N3" s="13"/>
      <c r="O3" s="13"/>
      <c r="P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13"/>
      <c r="N4" s="13"/>
      <c r="O4" s="13"/>
      <c r="P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13"/>
      <c r="N5" s="13"/>
      <c r="O5" s="13"/>
      <c r="P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13"/>
      <c r="N6" s="13"/>
      <c r="O6" s="13"/>
      <c r="P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13"/>
      <c r="N7" s="13"/>
      <c r="O7" s="13"/>
      <c r="P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13"/>
      <c r="N8" s="13"/>
      <c r="O8" s="13"/>
      <c r="P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13"/>
      <c r="N9" s="13"/>
      <c r="O9" s="13"/>
      <c r="P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13"/>
      <c r="N10" s="13"/>
      <c r="O10" s="13"/>
      <c r="P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13"/>
      <c r="N11" s="13"/>
      <c r="O11" s="13"/>
      <c r="P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13"/>
      <c r="N12" s="13"/>
      <c r="O12" s="13"/>
      <c r="P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13"/>
      <c r="N13" s="13"/>
      <c r="O13" s="13"/>
      <c r="P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13"/>
      <c r="N14" s="13"/>
      <c r="O14" s="13"/>
      <c r="P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13"/>
      <c r="N15" s="13"/>
      <c r="O15" s="13"/>
      <c r="P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13"/>
      <c r="N16" s="13"/>
      <c r="O16" s="13"/>
      <c r="P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13"/>
      <c r="N17" s="13"/>
      <c r="O17" s="13"/>
      <c r="P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13"/>
      <c r="N18" s="13"/>
      <c r="O18" s="13"/>
      <c r="P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13"/>
      <c r="N19" s="13"/>
      <c r="O19" s="13"/>
      <c r="P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13"/>
      <c r="N20" s="13"/>
      <c r="O20" s="13"/>
      <c r="P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13"/>
      <c r="N21" s="13"/>
      <c r="O21" s="13"/>
      <c r="P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13"/>
      <c r="N22" s="13"/>
      <c r="O22" s="13"/>
      <c r="P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13"/>
      <c r="N23" s="13"/>
      <c r="O23" s="13"/>
      <c r="P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13"/>
      <c r="N24" s="13"/>
      <c r="O24" s="13"/>
      <c r="P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13"/>
      <c r="N25" s="13"/>
      <c r="O25" s="13"/>
      <c r="P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13"/>
      <c r="N26" s="13"/>
      <c r="O26" s="13"/>
      <c r="P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13"/>
      <c r="N27" s="13"/>
      <c r="O27" s="13"/>
      <c r="P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13"/>
      <c r="N28" s="13"/>
      <c r="O28" s="13"/>
      <c r="P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13"/>
      <c r="N29" s="13"/>
      <c r="O29" s="13"/>
      <c r="P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13"/>
      <c r="N30" s="13"/>
      <c r="O30" s="13"/>
      <c r="P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13"/>
      <c r="N31" s="13"/>
      <c r="O31" s="13"/>
      <c r="P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13"/>
      <c r="N32" s="13"/>
      <c r="O32" s="13"/>
      <c r="P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13"/>
      <c r="N33" s="13"/>
      <c r="O33" s="13"/>
      <c r="P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13"/>
      <c r="N34" s="13"/>
      <c r="O34" s="13"/>
      <c r="P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13"/>
      <c r="N35" s="13"/>
      <c r="O35" s="13"/>
      <c r="P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13"/>
      <c r="N36" s="13"/>
      <c r="O36" s="13"/>
      <c r="P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13"/>
      <c r="N37" s="13"/>
      <c r="O37" s="13"/>
      <c r="P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13"/>
      <c r="N38" s="13"/>
      <c r="O38" s="13"/>
      <c r="P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13"/>
      <c r="N39" s="13"/>
      <c r="O39" s="13"/>
      <c r="P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13"/>
      <c r="N40" s="13"/>
      <c r="O40" s="13"/>
      <c r="P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13"/>
      <c r="N41" s="13"/>
      <c r="O41" s="13"/>
      <c r="P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13"/>
      <c r="N42" s="13"/>
      <c r="O42" s="13"/>
      <c r="P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13"/>
      <c r="N43" s="13"/>
      <c r="O43" s="13"/>
      <c r="P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13"/>
      <c r="N44" s="13"/>
      <c r="O44" s="13"/>
      <c r="P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13"/>
      <c r="N45" s="13"/>
      <c r="O45" s="13"/>
      <c r="P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13"/>
      <c r="N46" s="13"/>
      <c r="O46" s="13"/>
      <c r="P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13"/>
      <c r="N47" s="13"/>
      <c r="O47" s="13"/>
      <c r="P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13"/>
      <c r="N48" s="13"/>
      <c r="O48" s="13"/>
      <c r="P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13"/>
      <c r="N49" s="13"/>
      <c r="O49" s="13"/>
      <c r="P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13"/>
      <c r="N50" s="13"/>
      <c r="O50" s="13"/>
      <c r="P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13"/>
      <c r="N51" s="13"/>
      <c r="O51" s="13"/>
      <c r="P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13"/>
      <c r="N52" s="13"/>
      <c r="O52" s="13"/>
      <c r="P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13"/>
      <c r="N53" s="13"/>
      <c r="O53" s="13"/>
      <c r="P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13"/>
      <c r="N54" s="13"/>
      <c r="O54" s="13"/>
      <c r="P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13"/>
      <c r="N55" s="13"/>
      <c r="O55" s="13"/>
      <c r="P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13"/>
      <c r="N56" s="13"/>
      <c r="O56" s="13"/>
      <c r="P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13"/>
      <c r="N57" s="13"/>
      <c r="O57" s="13"/>
      <c r="P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13"/>
      <c r="N58" s="13"/>
      <c r="O58" s="13"/>
      <c r="P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13"/>
      <c r="N59" s="13"/>
      <c r="O59" s="13"/>
      <c r="P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13"/>
      <c r="N60" s="13"/>
      <c r="O60" s="13"/>
      <c r="P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13"/>
      <c r="N61" s="13"/>
      <c r="O61" s="13"/>
      <c r="P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13"/>
      <c r="N62" s="13"/>
      <c r="O62" s="13"/>
      <c r="P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13"/>
      <c r="N63" s="13"/>
      <c r="O63" s="13"/>
      <c r="P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13"/>
      <c r="N64" s="13"/>
      <c r="O64" s="13"/>
      <c r="P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13"/>
      <c r="N65" s="13"/>
      <c r="O65" s="13"/>
      <c r="P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13"/>
      <c r="N66" s="13"/>
      <c r="O66" s="13"/>
      <c r="P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13"/>
      <c r="N67" s="13"/>
      <c r="O67" s="13"/>
      <c r="P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13"/>
      <c r="N68" s="13"/>
      <c r="O68" s="13"/>
      <c r="P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13"/>
      <c r="N69" s="13"/>
      <c r="O69" s="13"/>
      <c r="P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13"/>
      <c r="N70" s="13"/>
      <c r="O70" s="13"/>
      <c r="P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13"/>
      <c r="N71" s="13"/>
      <c r="O71" s="13"/>
      <c r="P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13"/>
      <c r="N72" s="13"/>
      <c r="O72" s="13"/>
      <c r="P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13"/>
      <c r="N73" s="13"/>
      <c r="O73" s="13"/>
      <c r="P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13"/>
      <c r="N74" s="13"/>
      <c r="O74" s="13"/>
      <c r="P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13"/>
      <c r="N75" s="13"/>
      <c r="O75" s="13"/>
      <c r="P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13"/>
      <c r="N76" s="13"/>
      <c r="O76" s="13"/>
      <c r="P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13"/>
      <c r="N77" s="13"/>
      <c r="O77" s="13"/>
      <c r="P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13"/>
      <c r="N78" s="13"/>
      <c r="O78" s="13"/>
      <c r="P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13"/>
      <c r="N79" s="13"/>
      <c r="O79" s="13"/>
      <c r="P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13"/>
      <c r="N80" s="13"/>
      <c r="O80" s="13"/>
      <c r="P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13"/>
      <c r="N81" s="13"/>
      <c r="O81" s="13"/>
      <c r="P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13"/>
      <c r="N82" s="13"/>
      <c r="O82" s="13"/>
      <c r="P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13"/>
      <c r="N83" s="13"/>
      <c r="O83" s="13"/>
      <c r="P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13"/>
      <c r="N84" s="13"/>
      <c r="O84" s="13"/>
      <c r="P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13"/>
      <c r="N85" s="13"/>
      <c r="O85" s="13"/>
      <c r="P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13"/>
      <c r="N86" s="13"/>
      <c r="O86" s="13"/>
      <c r="P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13"/>
      <c r="N87" s="13"/>
      <c r="O87" s="13"/>
      <c r="P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13"/>
      <c r="N88" s="13"/>
      <c r="O88" s="13"/>
      <c r="P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13"/>
      <c r="N89" s="13"/>
      <c r="O89" s="13"/>
      <c r="P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13"/>
      <c r="N90" s="13"/>
      <c r="O90" s="13"/>
      <c r="P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13"/>
      <c r="N91" s="13"/>
      <c r="O91" s="13"/>
      <c r="P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13"/>
      <c r="N92" s="13"/>
      <c r="O92" s="13"/>
      <c r="P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13"/>
      <c r="N93" s="13"/>
      <c r="O93" s="13"/>
      <c r="P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13"/>
      <c r="N94" s="13"/>
      <c r="O94" s="13"/>
      <c r="P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13"/>
      <c r="N95" s="13"/>
      <c r="O95" s="13"/>
      <c r="P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13"/>
      <c r="N96" s="13"/>
      <c r="O96" s="13"/>
      <c r="P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13"/>
      <c r="N97" s="13"/>
      <c r="O97" s="13"/>
      <c r="P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13"/>
      <c r="N98" s="13"/>
      <c r="O98" s="13"/>
      <c r="P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13"/>
      <c r="N99" s="13"/>
      <c r="O99" s="13"/>
      <c r="P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13"/>
      <c r="N100" s="13"/>
      <c r="O100" s="13"/>
      <c r="P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13"/>
      <c r="N101" s="13"/>
      <c r="O101" s="13"/>
      <c r="P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13"/>
      <c r="N102" s="13"/>
      <c r="O102" s="13"/>
      <c r="P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13"/>
      <c r="N103" s="13"/>
      <c r="O103" s="13"/>
      <c r="P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13"/>
      <c r="N104" s="13"/>
      <c r="O104" s="13"/>
      <c r="P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13"/>
      <c r="N105" s="13"/>
      <c r="O105" s="13"/>
      <c r="P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13"/>
      <c r="N106" s="13"/>
      <c r="O106" s="13"/>
      <c r="P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13"/>
      <c r="N107" s="13"/>
      <c r="O107" s="13"/>
      <c r="P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13"/>
      <c r="N108" s="13"/>
      <c r="O108" s="13"/>
      <c r="P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13"/>
      <c r="N109" s="13"/>
      <c r="O109" s="13"/>
      <c r="P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13"/>
      <c r="N110" s="13"/>
      <c r="O110" s="13"/>
      <c r="P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13"/>
      <c r="N111" s="13"/>
      <c r="O111" s="13"/>
      <c r="P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13"/>
      <c r="N112" s="13"/>
      <c r="O112" s="13"/>
      <c r="P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13"/>
      <c r="N113" s="13"/>
      <c r="O113" s="13"/>
      <c r="P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13"/>
      <c r="N114" s="13"/>
      <c r="O114" s="13"/>
      <c r="P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13"/>
      <c r="N115" s="13"/>
      <c r="O115" s="13"/>
      <c r="P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13"/>
      <c r="N116" s="13"/>
      <c r="O116" s="13"/>
      <c r="P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13"/>
      <c r="N117" s="13"/>
      <c r="O117" s="13"/>
      <c r="P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13"/>
      <c r="N118" s="13"/>
      <c r="O118" s="13"/>
      <c r="P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13"/>
      <c r="N119" s="13"/>
      <c r="O119" s="13"/>
      <c r="P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13"/>
      <c r="N120" s="13"/>
      <c r="O120" s="13"/>
      <c r="P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13"/>
      <c r="N121" s="13"/>
      <c r="O121" s="13"/>
      <c r="P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13"/>
      <c r="N122" s="13"/>
      <c r="O122" s="13"/>
      <c r="P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13"/>
      <c r="N123" s="13"/>
      <c r="O123" s="13"/>
      <c r="P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13"/>
      <c r="N124" s="13"/>
      <c r="O124" s="13"/>
      <c r="P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13"/>
      <c r="N125" s="13"/>
      <c r="O125" s="13"/>
      <c r="P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13"/>
      <c r="N126" s="13"/>
      <c r="O126" s="13"/>
      <c r="P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13"/>
      <c r="N127" s="13"/>
      <c r="O127" s="13"/>
      <c r="P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13"/>
      <c r="N128" s="13"/>
      <c r="O128" s="13"/>
      <c r="P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13"/>
      <c r="N129" s="13"/>
      <c r="O129" s="13"/>
      <c r="P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13"/>
      <c r="N130" s="13"/>
      <c r="O130" s="13"/>
      <c r="P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13"/>
      <c r="N131" s="13"/>
      <c r="O131" s="13"/>
      <c r="P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13"/>
      <c r="N132" s="13"/>
      <c r="O132" s="13"/>
      <c r="P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13"/>
      <c r="N133" s="13"/>
      <c r="O133" s="13"/>
      <c r="P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13"/>
      <c r="N134" s="13"/>
      <c r="O134" s="13"/>
      <c r="P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13"/>
      <c r="N135" s="13"/>
      <c r="O135" s="13"/>
      <c r="P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13"/>
      <c r="N136" s="13"/>
      <c r="O136" s="13"/>
      <c r="P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13"/>
      <c r="N137" s="13"/>
      <c r="O137" s="13"/>
      <c r="P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13"/>
      <c r="N138" s="13"/>
      <c r="O138" s="13"/>
      <c r="P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13"/>
      <c r="N139" s="13"/>
      <c r="O139" s="13"/>
      <c r="P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13"/>
      <c r="N140" s="13"/>
      <c r="O140" s="13"/>
      <c r="P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13"/>
      <c r="N141" s="13"/>
      <c r="O141" s="13"/>
      <c r="P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13"/>
      <c r="N142" s="13"/>
      <c r="O142" s="13"/>
      <c r="P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13"/>
      <c r="N143" s="13"/>
      <c r="O143" s="13"/>
      <c r="P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13"/>
      <c r="N144" s="13"/>
      <c r="O144" s="13"/>
      <c r="P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13"/>
      <c r="N145" s="13"/>
      <c r="O145" s="13"/>
      <c r="P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13"/>
      <c r="N146" s="13"/>
      <c r="O146" s="13"/>
      <c r="P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13"/>
      <c r="N147" s="13"/>
      <c r="O147" s="13"/>
      <c r="P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13"/>
      <c r="N148" s="13"/>
      <c r="O148" s="13"/>
      <c r="P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13"/>
      <c r="N149" s="13"/>
      <c r="O149" s="13"/>
      <c r="P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13"/>
      <c r="N150" s="13"/>
      <c r="O150" s="13"/>
      <c r="P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13"/>
      <c r="N151" s="13"/>
      <c r="O151" s="13"/>
      <c r="P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13"/>
      <c r="N152" s="13"/>
      <c r="O152" s="13"/>
      <c r="P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13"/>
      <c r="N153" s="13"/>
      <c r="O153" s="13"/>
      <c r="P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13"/>
      <c r="N154" s="13"/>
      <c r="O154" s="13"/>
      <c r="P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13"/>
      <c r="N155" s="13"/>
      <c r="O155" s="13"/>
      <c r="P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13"/>
      <c r="N156" s="13"/>
      <c r="O156" s="13"/>
      <c r="P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13"/>
      <c r="N157" s="13"/>
      <c r="O157" s="13"/>
      <c r="P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13"/>
      <c r="N158" s="13"/>
      <c r="O158" s="13"/>
      <c r="P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13"/>
      <c r="N159" s="13"/>
      <c r="O159" s="13"/>
      <c r="P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13"/>
      <c r="N160" s="13"/>
      <c r="O160" s="13"/>
      <c r="P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13"/>
      <c r="N161" s="13"/>
      <c r="O161" s="13"/>
      <c r="P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13"/>
      <c r="N162" s="13"/>
      <c r="O162" s="13"/>
      <c r="P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13"/>
      <c r="N163" s="13"/>
      <c r="O163" s="13"/>
      <c r="P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13"/>
      <c r="N164" s="13"/>
      <c r="O164" s="13"/>
      <c r="P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13"/>
      <c r="N165" s="13"/>
      <c r="O165" s="13"/>
      <c r="P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13"/>
      <c r="N166" s="13"/>
      <c r="O166" s="13"/>
      <c r="P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13"/>
      <c r="N167" s="13"/>
      <c r="O167" s="13"/>
      <c r="P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13"/>
      <c r="N168" s="13"/>
      <c r="O168" s="13"/>
      <c r="P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13"/>
      <c r="N169" s="13"/>
      <c r="O169" s="13"/>
      <c r="P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13"/>
      <c r="N170" s="13"/>
      <c r="O170" s="13"/>
      <c r="P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13"/>
      <c r="N171" s="13"/>
      <c r="O171" s="13"/>
      <c r="P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13"/>
      <c r="N172" s="13"/>
      <c r="O172" s="13"/>
      <c r="P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13"/>
      <c r="N173" s="13"/>
      <c r="O173" s="13"/>
      <c r="P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13"/>
      <c r="N174" s="13"/>
      <c r="O174" s="13"/>
      <c r="P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13"/>
      <c r="N175" s="13"/>
      <c r="O175" s="13"/>
      <c r="P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13"/>
      <c r="N176" s="13"/>
      <c r="O176" s="13"/>
      <c r="P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13"/>
      <c r="N177" s="13"/>
      <c r="O177" s="13"/>
      <c r="P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13"/>
      <c r="N178" s="13"/>
      <c r="O178" s="13"/>
      <c r="P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13"/>
      <c r="N179" s="13"/>
      <c r="O179" s="13"/>
      <c r="P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13"/>
      <c r="N180" s="13"/>
      <c r="O180" s="13"/>
      <c r="P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13"/>
      <c r="N181" s="13"/>
      <c r="O181" s="13"/>
      <c r="P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13"/>
      <c r="N182" s="13"/>
      <c r="O182" s="13"/>
      <c r="P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13"/>
      <c r="N183" s="13"/>
      <c r="O183" s="13"/>
      <c r="P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13"/>
      <c r="N184" s="13"/>
      <c r="O184" s="13"/>
      <c r="P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13"/>
      <c r="N185" s="13"/>
      <c r="O185" s="13"/>
      <c r="P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13"/>
      <c r="N186" s="13"/>
      <c r="O186" s="13"/>
      <c r="P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13"/>
      <c r="N187" s="13"/>
      <c r="O187" s="13"/>
      <c r="P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13"/>
      <c r="N188" s="13"/>
      <c r="O188" s="13"/>
      <c r="P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13"/>
      <c r="N189" s="13"/>
      <c r="O189" s="13"/>
      <c r="P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13"/>
      <c r="N190" s="13"/>
      <c r="O190" s="13"/>
      <c r="P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13"/>
      <c r="N191" s="13"/>
      <c r="O191" s="13"/>
      <c r="P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13"/>
      <c r="N192" s="13"/>
      <c r="O192" s="13"/>
      <c r="P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13"/>
      <c r="N193" s="13"/>
      <c r="O193" s="13"/>
      <c r="P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13"/>
      <c r="N194" s="13"/>
      <c r="O194" s="13"/>
      <c r="P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13"/>
      <c r="N195" s="13"/>
      <c r="O195" s="13"/>
      <c r="P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13"/>
      <c r="N196" s="13"/>
      <c r="O196" s="13"/>
      <c r="P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13"/>
      <c r="N197" s="13"/>
      <c r="O197" s="13"/>
      <c r="P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13"/>
      <c r="N198" s="13"/>
      <c r="O198" s="13"/>
      <c r="P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13"/>
      <c r="N199" s="13"/>
      <c r="O199" s="13"/>
      <c r="P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13"/>
      <c r="N200" s="13"/>
      <c r="O200" s="13"/>
      <c r="P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13"/>
      <c r="N201" s="13"/>
      <c r="O201" s="13"/>
      <c r="P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13"/>
      <c r="N202" s="13"/>
      <c r="O202" s="13"/>
      <c r="P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13"/>
      <c r="N203" s="13"/>
      <c r="O203" s="13"/>
      <c r="P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13"/>
      <c r="N204" s="13"/>
      <c r="O204" s="13"/>
      <c r="P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13"/>
      <c r="N205" s="13"/>
      <c r="O205" s="13"/>
      <c r="P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13"/>
      <c r="N206" s="13"/>
      <c r="O206" s="13"/>
      <c r="P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13"/>
      <c r="N207" s="13"/>
      <c r="O207" s="13"/>
      <c r="P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13"/>
      <c r="N208" s="13"/>
      <c r="O208" s="13"/>
      <c r="P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13"/>
      <c r="N209" s="13"/>
      <c r="O209" s="13"/>
      <c r="P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13"/>
      <c r="N210" s="13"/>
      <c r="O210" s="13"/>
      <c r="P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13"/>
      <c r="N211" s="13"/>
      <c r="O211" s="13"/>
      <c r="P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13"/>
      <c r="N212" s="13"/>
      <c r="O212" s="13"/>
      <c r="P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13"/>
      <c r="N213" s="13"/>
      <c r="O213" s="13"/>
      <c r="P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13"/>
      <c r="N214" s="13"/>
      <c r="O214" s="13"/>
      <c r="P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13"/>
      <c r="N215" s="13"/>
      <c r="O215" s="13"/>
      <c r="P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13"/>
      <c r="N216" s="13"/>
      <c r="O216" s="13"/>
      <c r="P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13"/>
      <c r="N217" s="13"/>
      <c r="O217" s="13"/>
      <c r="P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13"/>
      <c r="N218" s="13"/>
      <c r="O218" s="13"/>
      <c r="P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13"/>
      <c r="N219" s="13"/>
      <c r="O219" s="13"/>
      <c r="P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13"/>
      <c r="N220" s="13"/>
      <c r="O220" s="13"/>
      <c r="P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548</v>
      </c>
      <c r="B1" s="2" t="s">
        <v>549</v>
      </c>
      <c r="C1" s="2" t="s">
        <v>550</v>
      </c>
      <c r="D1" s="2" t="s">
        <v>551</v>
      </c>
      <c r="E1" s="2" t="s">
        <v>552</v>
      </c>
      <c r="F1" s="2" t="s">
        <v>553</v>
      </c>
      <c r="G1" s="1" t="s">
        <v>192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  <c r="M1" s="40" t="s">
        <v>579</v>
      </c>
      <c r="N1" s="1" t="s">
        <v>580</v>
      </c>
      <c r="O1" s="1" t="s">
        <v>581</v>
      </c>
      <c r="P1" s="40" t="s">
        <v>582</v>
      </c>
      <c r="Q1" s="25" t="s">
        <v>583</v>
      </c>
      <c r="R1" s="1" t="s">
        <v>584</v>
      </c>
      <c r="S1" s="40" t="s">
        <v>585</v>
      </c>
      <c r="T1" s="1" t="s">
        <v>586</v>
      </c>
      <c r="U1" s="1" t="s">
        <v>587</v>
      </c>
      <c r="V1" s="1" t="s">
        <v>588</v>
      </c>
      <c r="W1" s="1" t="s">
        <v>589</v>
      </c>
      <c r="X1" s="1" t="s">
        <v>564</v>
      </c>
      <c r="Y1" s="1" t="s">
        <v>590</v>
      </c>
      <c r="Z1" s="1" t="s">
        <v>591</v>
      </c>
      <c r="AA1" s="1" t="s">
        <v>592</v>
      </c>
      <c r="AB1" s="1" t="s">
        <v>567</v>
      </c>
      <c r="AC1" s="1" t="s">
        <v>593</v>
      </c>
      <c r="AD1" s="1" t="s">
        <v>594</v>
      </c>
      <c r="AE1" s="1" t="s">
        <v>595</v>
      </c>
      <c r="AF1" s="1" t="s">
        <v>596</v>
      </c>
      <c r="AG1" s="1" t="s">
        <v>597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599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41">
        <v>0.0</v>
      </c>
      <c r="N2" s="13">
        <f>IF($A2="", -1, $E2)</f>
        <v>0</v>
      </c>
      <c r="O2" s="13">
        <f>IF($A2="", -1, $D2)</f>
        <v>0</v>
      </c>
      <c r="P2" s="41">
        <f>IF($A2="", -1, $M2-1)</f>
        <v>-1</v>
      </c>
      <c r="Q2" s="13">
        <f>IF($A2="", -1, $N2-1)</f>
        <v>-1</v>
      </c>
      <c r="R2" s="13">
        <f>IF($A2="", -1, $O2-1)</f>
        <v>-1</v>
      </c>
      <c r="S2" s="41">
        <f>IF($A2="", -1, $M2+1)</f>
        <v>1</v>
      </c>
      <c r="T2" s="13">
        <f>IF($A2="", -1, $N2+1)</f>
        <v>1</v>
      </c>
      <c r="U2" s="13">
        <f>IF($A2="", -1, $O2+1)</f>
        <v>1</v>
      </c>
      <c r="V2" s="13">
        <f>README!$B$49</f>
        <v>-1</v>
      </c>
      <c r="W2" s="13">
        <f>README!$B$38</f>
        <v>-1</v>
      </c>
      <c r="X2" s="13">
        <f>README!$H$2</f>
        <v>-1</v>
      </c>
      <c r="Y2" s="13">
        <f>COUNTIFS(LevelEpisode!$N:$N, $N2, LevelEpisode!$O:$O, $O2)</f>
        <v>1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README!$B$14, 0)</f>
        <v>-1, 0</v>
      </c>
      <c r="AD2" s="13" t="str">
        <f>JOIN(", ", README!$L$2, README!$B$27, -1, README!$B$9, 0)</f>
        <v>-1, -1, -1, -1, 0</v>
      </c>
      <c r="AE2" s="13" t="str">
        <f>JOIN(", ", README!$L$2, README!$B$27, -1, README!$B$9, 0)</f>
        <v>-1, -1, -1, -1, 0</v>
      </c>
      <c r="AF2" s="13" t="str">
        <f>JOIN(", ", README!$L$3, README!$B$27, -1, README!$B$10, 0)</f>
        <v>0, -1, -1, 0, 0</v>
      </c>
      <c r="AG2" s="13" t="str">
        <f>JOIN(", ", README!$L$15, README!$B$27,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41"/>
      <c r="N3" s="13"/>
      <c r="O3" s="13"/>
      <c r="P3" s="41"/>
      <c r="R3" s="13"/>
      <c r="S3" s="41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41"/>
      <c r="N4" s="13"/>
      <c r="O4" s="13"/>
      <c r="P4" s="41"/>
      <c r="R4" s="13"/>
      <c r="S4" s="41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41"/>
      <c r="N5" s="13"/>
      <c r="O5" s="13"/>
      <c r="P5" s="41"/>
      <c r="R5" s="13"/>
      <c r="S5" s="41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41"/>
      <c r="N6" s="13"/>
      <c r="O6" s="13"/>
      <c r="P6" s="41"/>
      <c r="R6" s="13"/>
      <c r="S6" s="41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41"/>
      <c r="N7" s="13"/>
      <c r="O7" s="13"/>
      <c r="P7" s="41"/>
      <c r="R7" s="13"/>
      <c r="S7" s="41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41"/>
      <c r="N8" s="13"/>
      <c r="O8" s="13"/>
      <c r="P8" s="41"/>
      <c r="R8" s="13"/>
      <c r="S8" s="41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41"/>
      <c r="N9" s="13"/>
      <c r="O9" s="13"/>
      <c r="P9" s="41"/>
      <c r="R9" s="13"/>
      <c r="S9" s="41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41"/>
      <c r="N10" s="13"/>
      <c r="O10" s="13"/>
      <c r="P10" s="41"/>
      <c r="R10" s="13"/>
      <c r="S10" s="41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41"/>
      <c r="N11" s="13"/>
      <c r="O11" s="13"/>
      <c r="P11" s="41"/>
      <c r="R11" s="13"/>
      <c r="S11" s="41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41"/>
      <c r="N12" s="13"/>
      <c r="O12" s="13"/>
      <c r="P12" s="41"/>
      <c r="R12" s="13"/>
      <c r="S12" s="41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41"/>
      <c r="N13" s="13"/>
      <c r="O13" s="13"/>
      <c r="P13" s="41"/>
      <c r="R13" s="13"/>
      <c r="S13" s="41"/>
      <c r="T13" s="13"/>
      <c r="U13" s="13"/>
      <c r="V13" s="13"/>
      <c r="W13" s="13"/>
      <c r="X13" s="13"/>
      <c r="Y13" s="1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41"/>
      <c r="N14" s="13"/>
      <c r="O14" s="13"/>
      <c r="P14" s="41"/>
      <c r="R14" s="13"/>
      <c r="S14" s="41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41"/>
      <c r="N15" s="13"/>
      <c r="O15" s="13"/>
      <c r="P15" s="41"/>
      <c r="R15" s="13"/>
      <c r="S15" s="41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41"/>
      <c r="N16" s="13"/>
      <c r="O16" s="13"/>
      <c r="P16" s="41"/>
      <c r="R16" s="13"/>
      <c r="S16" s="41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41"/>
      <c r="N17" s="13"/>
      <c r="O17" s="13"/>
      <c r="P17" s="41"/>
      <c r="R17" s="13"/>
      <c r="S17" s="41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41"/>
      <c r="N18" s="13"/>
      <c r="O18" s="13"/>
      <c r="P18" s="41"/>
      <c r="R18" s="13"/>
      <c r="S18" s="41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41"/>
      <c r="N19" s="13"/>
      <c r="O19" s="13"/>
      <c r="P19" s="41"/>
      <c r="R19" s="13"/>
      <c r="S19" s="41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41"/>
      <c r="N20" s="13"/>
      <c r="O20" s="13"/>
      <c r="P20" s="41"/>
      <c r="R20" s="13"/>
      <c r="S20" s="41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41"/>
      <c r="N21" s="13"/>
      <c r="O21" s="13"/>
      <c r="P21" s="41"/>
      <c r="R21" s="13"/>
      <c r="S21" s="41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41"/>
      <c r="N22" s="13"/>
      <c r="O22" s="13"/>
      <c r="P22" s="41"/>
      <c r="R22" s="13"/>
      <c r="S22" s="41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41"/>
      <c r="N23" s="13"/>
      <c r="O23" s="13"/>
      <c r="P23" s="41"/>
      <c r="R23" s="13"/>
      <c r="S23" s="41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41"/>
      <c r="N24" s="13"/>
      <c r="O24" s="13"/>
      <c r="P24" s="41"/>
      <c r="R24" s="13"/>
      <c r="S24" s="41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41"/>
      <c r="N25" s="13"/>
      <c r="O25" s="13"/>
      <c r="P25" s="41"/>
      <c r="R25" s="13"/>
      <c r="S25" s="41"/>
      <c r="T25" s="13"/>
      <c r="U25" s="13"/>
      <c r="V25" s="13"/>
      <c r="W25" s="13"/>
      <c r="X25" s="13"/>
      <c r="Y25" s="1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41"/>
      <c r="N26" s="13"/>
      <c r="O26" s="13"/>
      <c r="P26" s="41"/>
      <c r="R26" s="13"/>
      <c r="S26" s="41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41"/>
      <c r="N27" s="13"/>
      <c r="O27" s="13"/>
      <c r="P27" s="41"/>
      <c r="R27" s="13"/>
      <c r="S27" s="41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41"/>
      <c r="N28" s="13"/>
      <c r="O28" s="13"/>
      <c r="P28" s="41"/>
      <c r="R28" s="13"/>
      <c r="S28" s="41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41"/>
      <c r="N29" s="13"/>
      <c r="O29" s="13"/>
      <c r="P29" s="41"/>
      <c r="R29" s="13"/>
      <c r="S29" s="41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41"/>
      <c r="N30" s="13"/>
      <c r="O30" s="13"/>
      <c r="P30" s="41"/>
      <c r="R30" s="13"/>
      <c r="S30" s="41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41"/>
      <c r="N31" s="13"/>
      <c r="O31" s="13"/>
      <c r="P31" s="41"/>
      <c r="R31" s="13"/>
      <c r="S31" s="41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41"/>
      <c r="N32" s="13"/>
      <c r="O32" s="13"/>
      <c r="P32" s="41"/>
      <c r="R32" s="13"/>
      <c r="S32" s="41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41"/>
      <c r="N33" s="13"/>
      <c r="O33" s="13"/>
      <c r="P33" s="41"/>
      <c r="R33" s="13"/>
      <c r="S33" s="41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41"/>
      <c r="N34" s="13"/>
      <c r="O34" s="13"/>
      <c r="P34" s="41"/>
      <c r="R34" s="13"/>
      <c r="S34" s="41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41"/>
      <c r="N35" s="13"/>
      <c r="O35" s="13"/>
      <c r="P35" s="41"/>
      <c r="R35" s="13"/>
      <c r="S35" s="41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41"/>
      <c r="N36" s="13"/>
      <c r="O36" s="13"/>
      <c r="P36" s="41"/>
      <c r="R36" s="13"/>
      <c r="S36" s="41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41"/>
      <c r="N37" s="13"/>
      <c r="O37" s="13"/>
      <c r="P37" s="41"/>
      <c r="R37" s="13"/>
      <c r="S37" s="41"/>
      <c r="T37" s="13"/>
      <c r="U37" s="13"/>
      <c r="V37" s="13"/>
      <c r="W37" s="13"/>
      <c r="X37" s="13"/>
      <c r="Y37" s="1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41"/>
      <c r="N38" s="13"/>
      <c r="O38" s="13"/>
      <c r="P38" s="41"/>
      <c r="R38" s="13"/>
      <c r="S38" s="41"/>
      <c r="T38" s="13"/>
      <c r="U38" s="13"/>
      <c r="V38" s="13"/>
      <c r="W38" s="13"/>
      <c r="X38" s="13"/>
      <c r="Y38" s="1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41"/>
      <c r="N39" s="13"/>
      <c r="O39" s="13"/>
      <c r="P39" s="41"/>
      <c r="R39" s="13"/>
      <c r="S39" s="41"/>
      <c r="T39" s="13"/>
      <c r="U39" s="13"/>
      <c r="V39" s="13"/>
      <c r="W39" s="13"/>
      <c r="X39" s="13"/>
      <c r="Y39" s="1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41"/>
      <c r="N40" s="13"/>
      <c r="O40" s="13"/>
      <c r="P40" s="41"/>
      <c r="R40" s="13"/>
      <c r="S40" s="41"/>
      <c r="T40" s="13"/>
      <c r="U40" s="13"/>
      <c r="V40" s="13"/>
      <c r="W40" s="13"/>
      <c r="X40" s="13"/>
      <c r="Y40" s="1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41"/>
      <c r="N41" s="13"/>
      <c r="O41" s="13"/>
      <c r="P41" s="41"/>
      <c r="R41" s="13"/>
      <c r="S41" s="41"/>
      <c r="T41" s="13"/>
      <c r="U41" s="13"/>
      <c r="V41" s="13"/>
      <c r="W41" s="13"/>
      <c r="X41" s="13"/>
      <c r="Y41" s="1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41"/>
      <c r="N42" s="13"/>
      <c r="O42" s="13"/>
      <c r="P42" s="41"/>
      <c r="R42" s="13"/>
      <c r="S42" s="41"/>
      <c r="T42" s="13"/>
      <c r="U42" s="13"/>
      <c r="V42" s="13"/>
      <c r="W42" s="13"/>
      <c r="X42" s="13"/>
      <c r="Y42" s="1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41"/>
      <c r="N43" s="13"/>
      <c r="O43" s="13"/>
      <c r="P43" s="41"/>
      <c r="R43" s="13"/>
      <c r="S43" s="41"/>
      <c r="T43" s="13"/>
      <c r="U43" s="13"/>
      <c r="V43" s="13"/>
      <c r="W43" s="13"/>
      <c r="X43" s="13"/>
      <c r="Y43" s="1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41"/>
      <c r="N44" s="13"/>
      <c r="O44" s="13"/>
      <c r="P44" s="41"/>
      <c r="R44" s="13"/>
      <c r="S44" s="41"/>
      <c r="T44" s="13"/>
      <c r="U44" s="13"/>
      <c r="V44" s="13"/>
      <c r="W44" s="13"/>
      <c r="X44" s="13"/>
      <c r="Y44" s="1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41"/>
      <c r="N45" s="13"/>
      <c r="O45" s="13"/>
      <c r="P45" s="41"/>
      <c r="R45" s="13"/>
      <c r="S45" s="41"/>
      <c r="T45" s="13"/>
      <c r="U45" s="13"/>
      <c r="V45" s="13"/>
      <c r="W45" s="13"/>
      <c r="X45" s="13"/>
      <c r="Y45" s="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41"/>
      <c r="N46" s="13"/>
      <c r="O46" s="13"/>
      <c r="P46" s="41"/>
      <c r="R46" s="13"/>
      <c r="S46" s="41"/>
      <c r="T46" s="13"/>
      <c r="U46" s="13"/>
      <c r="V46" s="13"/>
      <c r="W46" s="13"/>
      <c r="X46" s="13"/>
      <c r="Y46" s="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41"/>
      <c r="N47" s="13"/>
      <c r="O47" s="13"/>
      <c r="P47" s="41"/>
      <c r="R47" s="13"/>
      <c r="S47" s="41"/>
      <c r="T47" s="13"/>
      <c r="U47" s="13"/>
      <c r="V47" s="13"/>
      <c r="W47" s="13"/>
      <c r="X47" s="13"/>
      <c r="Y47" s="1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41"/>
      <c r="N48" s="13"/>
      <c r="O48" s="13"/>
      <c r="P48" s="41"/>
      <c r="R48" s="13"/>
      <c r="S48" s="41"/>
      <c r="T48" s="13"/>
      <c r="U48" s="13"/>
      <c r="V48" s="13"/>
      <c r="W48" s="13"/>
      <c r="X48" s="13"/>
      <c r="Y48" s="1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41"/>
      <c r="N49" s="13"/>
      <c r="O49" s="13"/>
      <c r="P49" s="41"/>
      <c r="R49" s="13"/>
      <c r="S49" s="41"/>
      <c r="T49" s="13"/>
      <c r="U49" s="13"/>
      <c r="V49" s="13"/>
      <c r="W49" s="13"/>
      <c r="X49" s="13"/>
      <c r="Y49" s="1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41"/>
      <c r="N50" s="13"/>
      <c r="O50" s="13"/>
      <c r="P50" s="41"/>
      <c r="R50" s="13"/>
      <c r="S50" s="41"/>
      <c r="T50" s="13"/>
      <c r="U50" s="13"/>
      <c r="V50" s="13"/>
      <c r="W50" s="13"/>
      <c r="X50" s="13"/>
      <c r="Y50" s="1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41"/>
      <c r="N51" s="13"/>
      <c r="O51" s="13"/>
      <c r="P51" s="41"/>
      <c r="R51" s="13"/>
      <c r="S51" s="41"/>
      <c r="T51" s="13"/>
      <c r="U51" s="13"/>
      <c r="V51" s="13"/>
      <c r="W51" s="13"/>
      <c r="X51" s="13"/>
      <c r="Y51" s="1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41"/>
      <c r="N52" s="13"/>
      <c r="O52" s="13"/>
      <c r="P52" s="41"/>
      <c r="R52" s="13"/>
      <c r="S52" s="41"/>
      <c r="T52" s="13"/>
      <c r="U52" s="13"/>
      <c r="V52" s="13"/>
      <c r="W52" s="13"/>
      <c r="X52" s="13"/>
      <c r="Y52" s="1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41"/>
      <c r="N53" s="13"/>
      <c r="O53" s="13"/>
      <c r="P53" s="41"/>
      <c r="R53" s="13"/>
      <c r="S53" s="41"/>
      <c r="T53" s="13"/>
      <c r="U53" s="13"/>
      <c r="V53" s="13"/>
      <c r="W53" s="13"/>
      <c r="X53" s="13"/>
      <c r="Y53" s="1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41"/>
      <c r="N54" s="13"/>
      <c r="O54" s="13"/>
      <c r="P54" s="41"/>
      <c r="R54" s="13"/>
      <c r="S54" s="41"/>
      <c r="T54" s="13"/>
      <c r="U54" s="13"/>
      <c r="V54" s="13"/>
      <c r="W54" s="13"/>
      <c r="X54" s="13"/>
      <c r="Y54" s="1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41"/>
      <c r="N55" s="13"/>
      <c r="O55" s="13"/>
      <c r="P55" s="41"/>
      <c r="R55" s="13"/>
      <c r="S55" s="41"/>
      <c r="T55" s="13"/>
      <c r="U55" s="13"/>
      <c r="V55" s="13"/>
      <c r="W55" s="13"/>
      <c r="X55" s="13"/>
      <c r="Y55" s="1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41"/>
      <c r="N56" s="13"/>
      <c r="O56" s="13"/>
      <c r="P56" s="41"/>
      <c r="R56" s="13"/>
      <c r="S56" s="41"/>
      <c r="T56" s="13"/>
      <c r="U56" s="13"/>
      <c r="V56" s="13"/>
      <c r="W56" s="13"/>
      <c r="X56" s="13"/>
      <c r="Y56" s="1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41"/>
      <c r="N57" s="13"/>
      <c r="O57" s="13"/>
      <c r="P57" s="41"/>
      <c r="R57" s="13"/>
      <c r="S57" s="41"/>
      <c r="T57" s="13"/>
      <c r="U57" s="13"/>
      <c r="V57" s="13"/>
      <c r="W57" s="13"/>
      <c r="X57" s="13"/>
      <c r="Y57" s="1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41"/>
      <c r="N58" s="13"/>
      <c r="O58" s="13"/>
      <c r="P58" s="41"/>
      <c r="R58" s="13"/>
      <c r="S58" s="41"/>
      <c r="T58" s="13"/>
      <c r="U58" s="13"/>
      <c r="V58" s="13"/>
      <c r="W58" s="13"/>
      <c r="X58" s="13"/>
      <c r="Y58" s="1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41"/>
      <c r="N59" s="13"/>
      <c r="O59" s="13"/>
      <c r="P59" s="41"/>
      <c r="R59" s="13"/>
      <c r="S59" s="41"/>
      <c r="T59" s="13"/>
      <c r="U59" s="13"/>
      <c r="V59" s="13"/>
      <c r="W59" s="13"/>
      <c r="X59" s="13"/>
      <c r="Y59" s="1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41"/>
      <c r="N60" s="13"/>
      <c r="O60" s="13"/>
      <c r="P60" s="41"/>
      <c r="R60" s="13"/>
      <c r="S60" s="41"/>
      <c r="T60" s="13"/>
      <c r="U60" s="13"/>
      <c r="V60" s="13"/>
      <c r="W60" s="13"/>
      <c r="X60" s="13"/>
      <c r="Y60" s="1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41"/>
      <c r="N61" s="13"/>
      <c r="O61" s="13"/>
      <c r="P61" s="41"/>
      <c r="R61" s="13"/>
      <c r="S61" s="41"/>
      <c r="T61" s="13"/>
      <c r="U61" s="13"/>
      <c r="V61" s="13"/>
      <c r="W61" s="13"/>
      <c r="X61" s="13"/>
      <c r="Y61" s="1"/>
      <c r="Z61" s="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41"/>
      <c r="N62" s="13"/>
      <c r="O62" s="13"/>
      <c r="P62" s="41"/>
      <c r="R62" s="13"/>
      <c r="S62" s="41"/>
      <c r="T62" s="13"/>
      <c r="U62" s="13"/>
      <c r="V62" s="13"/>
      <c r="W62" s="13"/>
      <c r="X62" s="13"/>
      <c r="Y62" s="1"/>
      <c r="Z62" s="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41"/>
      <c r="N63" s="13"/>
      <c r="O63" s="13"/>
      <c r="P63" s="41"/>
      <c r="R63" s="13"/>
      <c r="S63" s="41"/>
      <c r="T63" s="13"/>
      <c r="U63" s="13"/>
      <c r="V63" s="13"/>
      <c r="W63" s="13"/>
      <c r="X63" s="13"/>
      <c r="Y63" s="1"/>
      <c r="Z63" s="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41"/>
      <c r="N64" s="13"/>
      <c r="O64" s="13"/>
      <c r="P64" s="41"/>
      <c r="R64" s="13"/>
      <c r="S64" s="41"/>
      <c r="T64" s="13"/>
      <c r="U64" s="13"/>
      <c r="V64" s="13"/>
      <c r="W64" s="13"/>
      <c r="X64" s="13"/>
      <c r="Y64" s="1"/>
      <c r="Z64" s="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41"/>
      <c r="N65" s="13"/>
      <c r="O65" s="13"/>
      <c r="P65" s="41"/>
      <c r="R65" s="13"/>
      <c r="S65" s="41"/>
      <c r="T65" s="13"/>
      <c r="U65" s="13"/>
      <c r="V65" s="13"/>
      <c r="W65" s="13"/>
      <c r="X65" s="13"/>
      <c r="Y65" s="1"/>
      <c r="Z65" s="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41"/>
      <c r="N66" s="13"/>
      <c r="O66" s="13"/>
      <c r="P66" s="41"/>
      <c r="R66" s="13"/>
      <c r="S66" s="41"/>
      <c r="T66" s="13"/>
      <c r="U66" s="13"/>
      <c r="V66" s="13"/>
      <c r="W66" s="13"/>
      <c r="X66" s="13"/>
      <c r="Y66" s="1"/>
      <c r="Z66" s="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41"/>
      <c r="N67" s="13"/>
      <c r="O67" s="13"/>
      <c r="P67" s="41"/>
      <c r="R67" s="13"/>
      <c r="S67" s="41"/>
      <c r="T67" s="13"/>
      <c r="U67" s="13"/>
      <c r="V67" s="13"/>
      <c r="W67" s="13"/>
      <c r="X67" s="13"/>
      <c r="Y67" s="1"/>
      <c r="Z67" s="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41"/>
      <c r="N68" s="13"/>
      <c r="O68" s="13"/>
      <c r="P68" s="41"/>
      <c r="R68" s="13"/>
      <c r="S68" s="41"/>
      <c r="T68" s="13"/>
      <c r="U68" s="13"/>
      <c r="V68" s="13"/>
      <c r="W68" s="13"/>
      <c r="X68" s="13"/>
      <c r="Y68" s="1"/>
      <c r="Z68" s="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41"/>
      <c r="N69" s="13"/>
      <c r="O69" s="13"/>
      <c r="P69" s="41"/>
      <c r="R69" s="13"/>
      <c r="S69" s="41"/>
      <c r="T69" s="13"/>
      <c r="U69" s="13"/>
      <c r="V69" s="13"/>
      <c r="W69" s="13"/>
      <c r="X69" s="13"/>
      <c r="Y69" s="1"/>
      <c r="Z69" s="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41"/>
      <c r="N70" s="13"/>
      <c r="O70" s="13"/>
      <c r="P70" s="41"/>
      <c r="R70" s="13"/>
      <c r="S70" s="41"/>
      <c r="T70" s="13"/>
      <c r="U70" s="13"/>
      <c r="V70" s="13"/>
      <c r="W70" s="13"/>
      <c r="X70" s="13"/>
      <c r="Y70" s="1"/>
      <c r="Z70" s="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41"/>
      <c r="N71" s="13"/>
      <c r="O71" s="13"/>
      <c r="P71" s="41"/>
      <c r="R71" s="13"/>
      <c r="S71" s="41"/>
      <c r="T71" s="13"/>
      <c r="U71" s="13"/>
      <c r="V71" s="13"/>
      <c r="W71" s="13"/>
      <c r="X71" s="13"/>
      <c r="Y71" s="1"/>
      <c r="Z71" s="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41"/>
      <c r="N72" s="13"/>
      <c r="O72" s="13"/>
      <c r="P72" s="41"/>
      <c r="R72" s="13"/>
      <c r="S72" s="41"/>
      <c r="T72" s="13"/>
      <c r="U72" s="13"/>
      <c r="V72" s="13"/>
      <c r="W72" s="13"/>
      <c r="X72" s="13"/>
      <c r="Y72" s="1"/>
      <c r="Z72" s="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41"/>
      <c r="N73" s="13"/>
      <c r="O73" s="13"/>
      <c r="P73" s="41"/>
      <c r="R73" s="13"/>
      <c r="S73" s="41"/>
      <c r="T73" s="13"/>
      <c r="U73" s="13"/>
      <c r="V73" s="13"/>
      <c r="W73" s="13"/>
      <c r="X73" s="13"/>
      <c r="Y73" s="1"/>
      <c r="Z73" s="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41"/>
      <c r="N74" s="13"/>
      <c r="O74" s="13"/>
      <c r="P74" s="41"/>
      <c r="R74" s="13"/>
      <c r="S74" s="41"/>
      <c r="T74" s="13"/>
      <c r="U74" s="13"/>
      <c r="V74" s="13"/>
      <c r="W74" s="13"/>
      <c r="X74" s="13"/>
      <c r="Y74" s="1"/>
      <c r="Z74" s="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41"/>
      <c r="N75" s="13"/>
      <c r="O75" s="13"/>
      <c r="P75" s="41"/>
      <c r="R75" s="13"/>
      <c r="S75" s="41"/>
      <c r="T75" s="13"/>
      <c r="U75" s="13"/>
      <c r="V75" s="13"/>
      <c r="W75" s="13"/>
      <c r="X75" s="13"/>
      <c r="Y75" s="1"/>
      <c r="Z75" s="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41"/>
      <c r="N76" s="13"/>
      <c r="O76" s="13"/>
      <c r="P76" s="41"/>
      <c r="R76" s="13"/>
      <c r="S76" s="41"/>
      <c r="T76" s="13"/>
      <c r="U76" s="13"/>
      <c r="V76" s="13"/>
      <c r="W76" s="13"/>
      <c r="X76" s="13"/>
      <c r="Y76" s="1"/>
      <c r="Z76" s="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41"/>
      <c r="N77" s="13"/>
      <c r="O77" s="13"/>
      <c r="P77" s="41"/>
      <c r="R77" s="13"/>
      <c r="S77" s="41"/>
      <c r="T77" s="13"/>
      <c r="U77" s="13"/>
      <c r="V77" s="13"/>
      <c r="W77" s="13"/>
      <c r="X77" s="13"/>
      <c r="Y77" s="1"/>
      <c r="Z77" s="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41"/>
      <c r="N78" s="13"/>
      <c r="O78" s="13"/>
      <c r="P78" s="41"/>
      <c r="R78" s="13"/>
      <c r="S78" s="41"/>
      <c r="T78" s="13"/>
      <c r="U78" s="13"/>
      <c r="V78" s="13"/>
      <c r="W78" s="13"/>
      <c r="X78" s="13"/>
      <c r="Y78" s="1"/>
      <c r="Z78" s="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41"/>
      <c r="N79" s="13"/>
      <c r="O79" s="13"/>
      <c r="P79" s="41"/>
      <c r="R79" s="13"/>
      <c r="S79" s="41"/>
      <c r="T79" s="13"/>
      <c r="U79" s="13"/>
      <c r="V79" s="13"/>
      <c r="W79" s="13"/>
      <c r="X79" s="13"/>
      <c r="Y79" s="1"/>
      <c r="Z79" s="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41"/>
      <c r="N80" s="13"/>
      <c r="O80" s="13"/>
      <c r="P80" s="41"/>
      <c r="R80" s="13"/>
      <c r="S80" s="41"/>
      <c r="T80" s="13"/>
      <c r="U80" s="13"/>
      <c r="V80" s="13"/>
      <c r="W80" s="13"/>
      <c r="X80" s="13"/>
      <c r="Y80" s="1"/>
      <c r="Z80" s="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41"/>
      <c r="N81" s="13"/>
      <c r="O81" s="13"/>
      <c r="P81" s="41"/>
      <c r="R81" s="13"/>
      <c r="S81" s="41"/>
      <c r="T81" s="13"/>
      <c r="U81" s="13"/>
      <c r="V81" s="13"/>
      <c r="W81" s="13"/>
      <c r="X81" s="13"/>
      <c r="Y81" s="1"/>
      <c r="Z81" s="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41"/>
      <c r="N82" s="13"/>
      <c r="O82" s="13"/>
      <c r="P82" s="41"/>
      <c r="R82" s="13"/>
      <c r="S82" s="41"/>
      <c r="T82" s="13"/>
      <c r="U82" s="13"/>
      <c r="V82" s="13"/>
      <c r="W82" s="13"/>
      <c r="X82" s="13"/>
      <c r="Y82" s="1"/>
      <c r="Z82" s="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41"/>
      <c r="N83" s="13"/>
      <c r="O83" s="13"/>
      <c r="P83" s="41"/>
      <c r="R83" s="13"/>
      <c r="S83" s="41"/>
      <c r="T83" s="13"/>
      <c r="U83" s="13"/>
      <c r="V83" s="13"/>
      <c r="W83" s="13"/>
      <c r="X83" s="13"/>
      <c r="Y83" s="1"/>
      <c r="Z83" s="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41"/>
      <c r="N84" s="13"/>
      <c r="O84" s="13"/>
      <c r="P84" s="41"/>
      <c r="R84" s="13"/>
      <c r="S84" s="41"/>
      <c r="T84" s="13"/>
      <c r="U84" s="13"/>
      <c r="V84" s="13"/>
      <c r="W84" s="13"/>
      <c r="X84" s="13"/>
      <c r="Y84" s="1"/>
      <c r="Z84" s="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41"/>
      <c r="N85" s="13"/>
      <c r="O85" s="13"/>
      <c r="P85" s="41"/>
      <c r="R85" s="13"/>
      <c r="S85" s="41"/>
      <c r="T85" s="13"/>
      <c r="U85" s="13"/>
      <c r="V85" s="13"/>
      <c r="W85" s="13"/>
      <c r="X85" s="13"/>
      <c r="Y85" s="1"/>
      <c r="Z85" s="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41"/>
      <c r="N86" s="13"/>
      <c r="O86" s="13"/>
      <c r="P86" s="41"/>
      <c r="R86" s="13"/>
      <c r="S86" s="41"/>
      <c r="T86" s="13"/>
      <c r="U86" s="13"/>
      <c r="V86" s="13"/>
      <c r="W86" s="13"/>
      <c r="X86" s="13"/>
      <c r="Y86" s="1"/>
      <c r="Z86" s="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41"/>
      <c r="N87" s="13"/>
      <c r="O87" s="13"/>
      <c r="P87" s="41"/>
      <c r="R87" s="13"/>
      <c r="S87" s="41"/>
      <c r="T87" s="13"/>
      <c r="U87" s="13"/>
      <c r="V87" s="13"/>
      <c r="W87" s="13"/>
      <c r="X87" s="13"/>
      <c r="Y87" s="1"/>
      <c r="Z87" s="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41"/>
      <c r="N88" s="13"/>
      <c r="O88" s="13"/>
      <c r="P88" s="41"/>
      <c r="R88" s="13"/>
      <c r="S88" s="41"/>
      <c r="T88" s="13"/>
      <c r="U88" s="13"/>
      <c r="V88" s="13"/>
      <c r="W88" s="13"/>
      <c r="X88" s="13"/>
      <c r="Y88" s="1"/>
      <c r="Z88" s="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41"/>
      <c r="N89" s="13"/>
      <c r="O89" s="13"/>
      <c r="P89" s="41"/>
      <c r="R89" s="13"/>
      <c r="S89" s="41"/>
      <c r="T89" s="13"/>
      <c r="U89" s="13"/>
      <c r="V89" s="13"/>
      <c r="W89" s="13"/>
      <c r="X89" s="13"/>
      <c r="Y89" s="1"/>
      <c r="Z89" s="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41"/>
      <c r="N90" s="13"/>
      <c r="O90" s="13"/>
      <c r="P90" s="41"/>
      <c r="R90" s="13"/>
      <c r="S90" s="41"/>
      <c r="T90" s="13"/>
      <c r="U90" s="13"/>
      <c r="V90" s="13"/>
      <c r="W90" s="13"/>
      <c r="X90" s="13"/>
      <c r="Y90" s="1"/>
      <c r="Z90" s="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41"/>
      <c r="N91" s="13"/>
      <c r="O91" s="13"/>
      <c r="P91" s="41"/>
      <c r="R91" s="13"/>
      <c r="S91" s="41"/>
      <c r="T91" s="13"/>
      <c r="U91" s="13"/>
      <c r="V91" s="13"/>
      <c r="W91" s="13"/>
      <c r="X91" s="13"/>
      <c r="Y91" s="1"/>
      <c r="Z91" s="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41"/>
      <c r="N92" s="13"/>
      <c r="O92" s="13"/>
      <c r="P92" s="41"/>
      <c r="R92" s="13"/>
      <c r="S92" s="41"/>
      <c r="T92" s="13"/>
      <c r="U92" s="13"/>
      <c r="V92" s="13"/>
      <c r="W92" s="13"/>
      <c r="X92" s="13"/>
      <c r="Y92" s="1"/>
      <c r="Z92" s="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41"/>
      <c r="N93" s="13"/>
      <c r="O93" s="13"/>
      <c r="P93" s="41"/>
      <c r="R93" s="13"/>
      <c r="S93" s="41"/>
      <c r="T93" s="13"/>
      <c r="U93" s="13"/>
      <c r="V93" s="13"/>
      <c r="W93" s="13"/>
      <c r="X93" s="13"/>
      <c r="Y93" s="1"/>
      <c r="Z93" s="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41"/>
      <c r="N94" s="13"/>
      <c r="O94" s="13"/>
      <c r="P94" s="41"/>
      <c r="R94" s="13"/>
      <c r="S94" s="41"/>
      <c r="T94" s="13"/>
      <c r="U94" s="13"/>
      <c r="V94" s="13"/>
      <c r="W94" s="13"/>
      <c r="X94" s="13"/>
      <c r="Y94" s="1"/>
      <c r="Z94" s="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41"/>
      <c r="N95" s="13"/>
      <c r="O95" s="13"/>
      <c r="P95" s="41"/>
      <c r="R95" s="13"/>
      <c r="S95" s="41"/>
      <c r="T95" s="13"/>
      <c r="U95" s="13"/>
      <c r="V95" s="13"/>
      <c r="W95" s="13"/>
      <c r="X95" s="13"/>
      <c r="Y95" s="1"/>
      <c r="Z95" s="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41"/>
      <c r="N96" s="13"/>
      <c r="O96" s="13"/>
      <c r="P96" s="41"/>
      <c r="R96" s="13"/>
      <c r="S96" s="41"/>
      <c r="T96" s="13"/>
      <c r="U96" s="13"/>
      <c r="V96" s="13"/>
      <c r="W96" s="13"/>
      <c r="X96" s="13"/>
      <c r="Y96" s="1"/>
      <c r="Z96" s="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41"/>
      <c r="N97" s="13"/>
      <c r="O97" s="13"/>
      <c r="P97" s="41"/>
      <c r="R97" s="13"/>
      <c r="S97" s="41"/>
      <c r="T97" s="13"/>
      <c r="U97" s="13"/>
      <c r="V97" s="13"/>
      <c r="W97" s="13"/>
      <c r="X97" s="13"/>
      <c r="Y97" s="1"/>
      <c r="Z97" s="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41"/>
      <c r="N98" s="13"/>
      <c r="O98" s="13"/>
      <c r="P98" s="41"/>
      <c r="R98" s="13"/>
      <c r="S98" s="41"/>
      <c r="T98" s="13"/>
      <c r="U98" s="13"/>
      <c r="V98" s="13"/>
      <c r="W98" s="13"/>
      <c r="X98" s="13"/>
      <c r="Y98" s="1"/>
      <c r="Z98" s="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41"/>
      <c r="N99" s="13"/>
      <c r="O99" s="13"/>
      <c r="P99" s="41"/>
      <c r="R99" s="13"/>
      <c r="S99" s="41"/>
      <c r="T99" s="13"/>
      <c r="U99" s="13"/>
      <c r="V99" s="13"/>
      <c r="W99" s="13"/>
      <c r="X99" s="13"/>
      <c r="Y99" s="1"/>
      <c r="Z99" s="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41"/>
      <c r="N100" s="13"/>
      <c r="O100" s="13"/>
      <c r="P100" s="41"/>
      <c r="R100" s="13"/>
      <c r="S100" s="41"/>
      <c r="T100" s="13"/>
      <c r="U100" s="13"/>
      <c r="V100" s="13"/>
      <c r="W100" s="13"/>
      <c r="X100" s="13"/>
      <c r="Y100" s="1"/>
      <c r="Z100" s="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41"/>
      <c r="N101" s="13"/>
      <c r="O101" s="13"/>
      <c r="P101" s="41"/>
      <c r="R101" s="13"/>
      <c r="S101" s="41"/>
      <c r="T101" s="13"/>
      <c r="U101" s="13"/>
      <c r="V101" s="13"/>
      <c r="W101" s="13"/>
      <c r="X101" s="13"/>
      <c r="Y101" s="1"/>
      <c r="Z101" s="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41"/>
      <c r="N102" s="13"/>
      <c r="O102" s="13"/>
      <c r="P102" s="41"/>
      <c r="R102" s="13"/>
      <c r="S102" s="41"/>
      <c r="T102" s="13"/>
      <c r="U102" s="13"/>
      <c r="V102" s="13"/>
      <c r="W102" s="13"/>
      <c r="X102" s="13"/>
      <c r="Y102" s="1"/>
      <c r="Z102" s="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41"/>
      <c r="N103" s="13"/>
      <c r="O103" s="13"/>
      <c r="P103" s="41"/>
      <c r="R103" s="13"/>
      <c r="S103" s="41"/>
      <c r="T103" s="13"/>
      <c r="U103" s="13"/>
      <c r="V103" s="13"/>
      <c r="W103" s="13"/>
      <c r="X103" s="13"/>
      <c r="Y103" s="1"/>
      <c r="Z103" s="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41"/>
      <c r="N104" s="13"/>
      <c r="O104" s="13"/>
      <c r="P104" s="41"/>
      <c r="R104" s="13"/>
      <c r="S104" s="41"/>
      <c r="T104" s="13"/>
      <c r="U104" s="13"/>
      <c r="V104" s="13"/>
      <c r="W104" s="13"/>
      <c r="X104" s="13"/>
      <c r="Y104" s="1"/>
      <c r="Z104" s="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41"/>
      <c r="N105" s="13"/>
      <c r="O105" s="13"/>
      <c r="P105" s="41"/>
      <c r="R105" s="13"/>
      <c r="S105" s="41"/>
      <c r="T105" s="13"/>
      <c r="U105" s="13"/>
      <c r="V105" s="13"/>
      <c r="W105" s="13"/>
      <c r="X105" s="13"/>
      <c r="Y105" s="1"/>
      <c r="Z105" s="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41"/>
      <c r="N106" s="13"/>
      <c r="O106" s="13"/>
      <c r="P106" s="41"/>
      <c r="R106" s="13"/>
      <c r="S106" s="41"/>
      <c r="T106" s="13"/>
      <c r="U106" s="13"/>
      <c r="V106" s="13"/>
      <c r="W106" s="13"/>
      <c r="X106" s="13"/>
      <c r="Y106" s="1"/>
      <c r="Z106" s="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41"/>
      <c r="N107" s="13"/>
      <c r="O107" s="13"/>
      <c r="P107" s="41"/>
      <c r="R107" s="13"/>
      <c r="S107" s="41"/>
      <c r="T107" s="13"/>
      <c r="U107" s="13"/>
      <c r="V107" s="13"/>
      <c r="W107" s="13"/>
      <c r="X107" s="13"/>
      <c r="Y107" s="1"/>
      <c r="Z107" s="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41"/>
      <c r="N108" s="13"/>
      <c r="O108" s="13"/>
      <c r="P108" s="41"/>
      <c r="R108" s="13"/>
      <c r="S108" s="41"/>
      <c r="T108" s="13"/>
      <c r="U108" s="13"/>
      <c r="V108" s="13"/>
      <c r="W108" s="13"/>
      <c r="X108" s="13"/>
      <c r="Y108" s="1"/>
      <c r="Z108" s="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41"/>
      <c r="N109" s="13"/>
      <c r="O109" s="13"/>
      <c r="P109" s="41"/>
      <c r="R109" s="13"/>
      <c r="S109" s="41"/>
      <c r="T109" s="13"/>
      <c r="U109" s="13"/>
      <c r="V109" s="13"/>
      <c r="W109" s="13"/>
      <c r="X109" s="13"/>
      <c r="Y109" s="1"/>
      <c r="Z109" s="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41"/>
      <c r="N110" s="13"/>
      <c r="O110" s="13"/>
      <c r="P110" s="41"/>
      <c r="R110" s="13"/>
      <c r="S110" s="41"/>
      <c r="T110" s="13"/>
      <c r="U110" s="13"/>
      <c r="V110" s="13"/>
      <c r="W110" s="13"/>
      <c r="X110" s="13"/>
      <c r="Y110" s="1"/>
      <c r="Z110" s="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41"/>
      <c r="N111" s="13"/>
      <c r="O111" s="13"/>
      <c r="P111" s="41"/>
      <c r="R111" s="13"/>
      <c r="S111" s="41"/>
      <c r="T111" s="13"/>
      <c r="U111" s="13"/>
      <c r="V111" s="13"/>
      <c r="W111" s="13"/>
      <c r="X111" s="13"/>
      <c r="Y111" s="1"/>
      <c r="Z111" s="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41"/>
      <c r="N112" s="13"/>
      <c r="O112" s="13"/>
      <c r="P112" s="41"/>
      <c r="R112" s="13"/>
      <c r="S112" s="41"/>
      <c r="T112" s="13"/>
      <c r="U112" s="13"/>
      <c r="V112" s="13"/>
      <c r="W112" s="13"/>
      <c r="X112" s="13"/>
      <c r="Y112" s="1"/>
      <c r="Z112" s="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41"/>
      <c r="N113" s="13"/>
      <c r="O113" s="13"/>
      <c r="P113" s="41"/>
      <c r="R113" s="13"/>
      <c r="S113" s="41"/>
      <c r="T113" s="13"/>
      <c r="U113" s="13"/>
      <c r="V113" s="13"/>
      <c r="W113" s="13"/>
      <c r="X113" s="13"/>
      <c r="Y113" s="1"/>
      <c r="Z113" s="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41"/>
      <c r="N114" s="13"/>
      <c r="O114" s="13"/>
      <c r="P114" s="41"/>
      <c r="R114" s="13"/>
      <c r="S114" s="41"/>
      <c r="T114" s="13"/>
      <c r="U114" s="13"/>
      <c r="V114" s="13"/>
      <c r="W114" s="13"/>
      <c r="X114" s="13"/>
      <c r="Y114" s="1"/>
      <c r="Z114" s="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41"/>
      <c r="N115" s="13"/>
      <c r="O115" s="13"/>
      <c r="P115" s="41"/>
      <c r="R115" s="13"/>
      <c r="S115" s="41"/>
      <c r="T115" s="13"/>
      <c r="U115" s="13"/>
      <c r="V115" s="13"/>
      <c r="W115" s="13"/>
      <c r="X115" s="13"/>
      <c r="Y115" s="1"/>
      <c r="Z115" s="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41"/>
      <c r="N116" s="13"/>
      <c r="O116" s="13"/>
      <c r="P116" s="41"/>
      <c r="R116" s="13"/>
      <c r="S116" s="41"/>
      <c r="T116" s="13"/>
      <c r="U116" s="13"/>
      <c r="V116" s="13"/>
      <c r="W116" s="13"/>
      <c r="X116" s="13"/>
      <c r="Y116" s="1"/>
      <c r="Z116" s="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41"/>
      <c r="N117" s="13"/>
      <c r="O117" s="13"/>
      <c r="P117" s="41"/>
      <c r="R117" s="13"/>
      <c r="S117" s="41"/>
      <c r="T117" s="13"/>
      <c r="U117" s="13"/>
      <c r="V117" s="13"/>
      <c r="W117" s="13"/>
      <c r="X117" s="13"/>
      <c r="Y117" s="1"/>
      <c r="Z117" s="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41"/>
      <c r="N118" s="13"/>
      <c r="O118" s="13"/>
      <c r="P118" s="41"/>
      <c r="R118" s="13"/>
      <c r="S118" s="41"/>
      <c r="T118" s="13"/>
      <c r="U118" s="13"/>
      <c r="V118" s="13"/>
      <c r="W118" s="13"/>
      <c r="X118" s="13"/>
      <c r="Y118" s="1"/>
      <c r="Z118" s="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41"/>
      <c r="N119" s="13"/>
      <c r="O119" s="13"/>
      <c r="P119" s="41"/>
      <c r="R119" s="13"/>
      <c r="S119" s="41"/>
      <c r="T119" s="13"/>
      <c r="U119" s="13"/>
      <c r="V119" s="13"/>
      <c r="W119" s="13"/>
      <c r="X119" s="13"/>
      <c r="Y119" s="1"/>
      <c r="Z119" s="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41"/>
      <c r="N120" s="13"/>
      <c r="O120" s="13"/>
      <c r="P120" s="41"/>
      <c r="R120" s="13"/>
      <c r="S120" s="41"/>
      <c r="T120" s="13"/>
      <c r="U120" s="13"/>
      <c r="V120" s="13"/>
      <c r="W120" s="13"/>
      <c r="X120" s="13"/>
      <c r="Y120" s="1"/>
      <c r="Z120" s="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41"/>
      <c r="N121" s="13"/>
      <c r="O121" s="13"/>
      <c r="P121" s="41"/>
      <c r="R121" s="13"/>
      <c r="S121" s="41"/>
      <c r="T121" s="13"/>
      <c r="U121" s="13"/>
      <c r="V121" s="13"/>
      <c r="W121" s="13"/>
      <c r="X121" s="13"/>
      <c r="Y121" s="1"/>
      <c r="Z121" s="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41"/>
      <c r="N122" s="13"/>
      <c r="O122" s="13"/>
      <c r="P122" s="41"/>
      <c r="R122" s="13"/>
      <c r="S122" s="41"/>
      <c r="T122" s="13"/>
      <c r="U122" s="13"/>
      <c r="V122" s="13"/>
      <c r="W122" s="13"/>
      <c r="X122" s="13"/>
      <c r="Y122" s="1"/>
      <c r="Z122" s="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41"/>
      <c r="N123" s="13"/>
      <c r="O123" s="13"/>
      <c r="P123" s="41"/>
      <c r="R123" s="13"/>
      <c r="S123" s="41"/>
      <c r="T123" s="13"/>
      <c r="U123" s="13"/>
      <c r="V123" s="13"/>
      <c r="W123" s="13"/>
      <c r="X123" s="13"/>
      <c r="Y123" s="1"/>
      <c r="Z123" s="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41"/>
      <c r="N124" s="13"/>
      <c r="O124" s="13"/>
      <c r="P124" s="41"/>
      <c r="R124" s="13"/>
      <c r="S124" s="41"/>
      <c r="T124" s="13"/>
      <c r="U124" s="13"/>
      <c r="V124" s="13"/>
      <c r="W124" s="13"/>
      <c r="X124" s="13"/>
      <c r="Y124" s="1"/>
      <c r="Z124" s="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41"/>
      <c r="N125" s="13"/>
      <c r="O125" s="13"/>
      <c r="P125" s="41"/>
      <c r="R125" s="13"/>
      <c r="S125" s="41"/>
      <c r="T125" s="13"/>
      <c r="U125" s="13"/>
      <c r="V125" s="13"/>
      <c r="W125" s="13"/>
      <c r="X125" s="13"/>
      <c r="Y125" s="1"/>
      <c r="Z125" s="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41"/>
      <c r="N126" s="13"/>
      <c r="O126" s="13"/>
      <c r="P126" s="41"/>
      <c r="R126" s="13"/>
      <c r="S126" s="41"/>
      <c r="T126" s="13"/>
      <c r="U126" s="13"/>
      <c r="V126" s="13"/>
      <c r="W126" s="13"/>
      <c r="X126" s="13"/>
      <c r="Y126" s="1"/>
      <c r="Z126" s="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41"/>
      <c r="N127" s="13"/>
      <c r="O127" s="13"/>
      <c r="P127" s="41"/>
      <c r="R127" s="13"/>
      <c r="S127" s="41"/>
      <c r="T127" s="13"/>
      <c r="U127" s="13"/>
      <c r="V127" s="13"/>
      <c r="W127" s="13"/>
      <c r="X127" s="13"/>
      <c r="Y127" s="1"/>
      <c r="Z127" s="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41"/>
      <c r="N128" s="13"/>
      <c r="O128" s="13"/>
      <c r="P128" s="41"/>
      <c r="R128" s="13"/>
      <c r="S128" s="41"/>
      <c r="T128" s="13"/>
      <c r="U128" s="13"/>
      <c r="V128" s="13"/>
      <c r="W128" s="13"/>
      <c r="X128" s="13"/>
      <c r="Y128" s="1"/>
      <c r="Z128" s="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41"/>
      <c r="N129" s="13"/>
      <c r="O129" s="13"/>
      <c r="P129" s="41"/>
      <c r="R129" s="13"/>
      <c r="S129" s="41"/>
      <c r="T129" s="13"/>
      <c r="U129" s="13"/>
      <c r="V129" s="13"/>
      <c r="W129" s="13"/>
      <c r="X129" s="13"/>
      <c r="Y129" s="1"/>
      <c r="Z129" s="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41"/>
      <c r="N130" s="13"/>
      <c r="O130" s="13"/>
      <c r="P130" s="41"/>
      <c r="R130" s="13"/>
      <c r="S130" s="41"/>
      <c r="T130" s="13"/>
      <c r="U130" s="13"/>
      <c r="V130" s="13"/>
      <c r="W130" s="13"/>
      <c r="X130" s="13"/>
      <c r="Y130" s="1"/>
      <c r="Z130" s="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41"/>
      <c r="N131" s="13"/>
      <c r="O131" s="13"/>
      <c r="P131" s="41"/>
      <c r="R131" s="13"/>
      <c r="S131" s="41"/>
      <c r="T131" s="13"/>
      <c r="U131" s="13"/>
      <c r="V131" s="13"/>
      <c r="W131" s="13"/>
      <c r="X131" s="13"/>
      <c r="Y131" s="1"/>
      <c r="Z131" s="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41"/>
      <c r="N132" s="13"/>
      <c r="O132" s="13"/>
      <c r="P132" s="41"/>
      <c r="R132" s="13"/>
      <c r="S132" s="41"/>
      <c r="T132" s="13"/>
      <c r="U132" s="13"/>
      <c r="V132" s="13"/>
      <c r="W132" s="13"/>
      <c r="X132" s="13"/>
      <c r="Y132" s="1"/>
      <c r="Z132" s="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41"/>
      <c r="N133" s="13"/>
      <c r="O133" s="13"/>
      <c r="P133" s="41"/>
      <c r="R133" s="13"/>
      <c r="S133" s="41"/>
      <c r="T133" s="13"/>
      <c r="U133" s="13"/>
      <c r="V133" s="13"/>
      <c r="W133" s="13"/>
      <c r="X133" s="13"/>
      <c r="Y133" s="1"/>
      <c r="Z133" s="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41"/>
      <c r="N134" s="13"/>
      <c r="O134" s="13"/>
      <c r="P134" s="41"/>
      <c r="R134" s="13"/>
      <c r="S134" s="41"/>
      <c r="T134" s="13"/>
      <c r="U134" s="13"/>
      <c r="V134" s="13"/>
      <c r="W134" s="13"/>
      <c r="X134" s="13"/>
      <c r="Y134" s="1"/>
      <c r="Z134" s="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41"/>
      <c r="N135" s="13"/>
      <c r="O135" s="13"/>
      <c r="P135" s="41"/>
      <c r="R135" s="13"/>
      <c r="S135" s="41"/>
      <c r="T135" s="13"/>
      <c r="U135" s="13"/>
      <c r="V135" s="13"/>
      <c r="W135" s="13"/>
      <c r="X135" s="13"/>
      <c r="Y135" s="1"/>
      <c r="Z135" s="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41"/>
      <c r="N136" s="13"/>
      <c r="O136" s="13"/>
      <c r="P136" s="41"/>
      <c r="R136" s="13"/>
      <c r="S136" s="41"/>
      <c r="T136" s="13"/>
      <c r="U136" s="13"/>
      <c r="V136" s="13"/>
      <c r="W136" s="13"/>
      <c r="X136" s="13"/>
      <c r="Y136" s="1"/>
      <c r="Z136" s="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41"/>
      <c r="N137" s="13"/>
      <c r="O137" s="13"/>
      <c r="P137" s="41"/>
      <c r="R137" s="13"/>
      <c r="S137" s="41"/>
      <c r="T137" s="13"/>
      <c r="U137" s="13"/>
      <c r="V137" s="13"/>
      <c r="W137" s="13"/>
      <c r="X137" s="13"/>
      <c r="Y137" s="1"/>
      <c r="Z137" s="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41"/>
      <c r="N138" s="13"/>
      <c r="O138" s="13"/>
      <c r="P138" s="41"/>
      <c r="R138" s="13"/>
      <c r="S138" s="41"/>
      <c r="T138" s="13"/>
      <c r="U138" s="13"/>
      <c r="V138" s="13"/>
      <c r="W138" s="13"/>
      <c r="X138" s="13"/>
      <c r="Y138" s="1"/>
      <c r="Z138" s="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41"/>
      <c r="N139" s="13"/>
      <c r="O139" s="13"/>
      <c r="P139" s="41"/>
      <c r="R139" s="13"/>
      <c r="S139" s="41"/>
      <c r="T139" s="13"/>
      <c r="U139" s="13"/>
      <c r="V139" s="13"/>
      <c r="W139" s="13"/>
      <c r="X139" s="13"/>
      <c r="Y139" s="1"/>
      <c r="Z139" s="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41"/>
      <c r="N140" s="13"/>
      <c r="O140" s="13"/>
      <c r="P140" s="41"/>
      <c r="R140" s="13"/>
      <c r="S140" s="41"/>
      <c r="T140" s="13"/>
      <c r="U140" s="13"/>
      <c r="V140" s="13"/>
      <c r="W140" s="13"/>
      <c r="X140" s="13"/>
      <c r="Y140" s="1"/>
      <c r="Z140" s="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41"/>
      <c r="N141" s="13"/>
      <c r="O141" s="13"/>
      <c r="P141" s="41"/>
      <c r="R141" s="13"/>
      <c r="S141" s="41"/>
      <c r="T141" s="13"/>
      <c r="U141" s="13"/>
      <c r="V141" s="13"/>
      <c r="W141" s="13"/>
      <c r="X141" s="13"/>
      <c r="Y141" s="1"/>
      <c r="Z141" s="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41"/>
      <c r="N142" s="13"/>
      <c r="O142" s="13"/>
      <c r="P142" s="41"/>
      <c r="R142" s="13"/>
      <c r="S142" s="41"/>
      <c r="T142" s="13"/>
      <c r="U142" s="13"/>
      <c r="V142" s="13"/>
      <c r="W142" s="13"/>
      <c r="X142" s="13"/>
      <c r="Y142" s="1"/>
      <c r="Z142" s="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41"/>
      <c r="N143" s="13"/>
      <c r="O143" s="13"/>
      <c r="P143" s="41"/>
      <c r="R143" s="13"/>
      <c r="S143" s="41"/>
      <c r="T143" s="13"/>
      <c r="U143" s="13"/>
      <c r="V143" s="13"/>
      <c r="W143" s="13"/>
      <c r="X143" s="13"/>
      <c r="Y143" s="1"/>
      <c r="Z143" s="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41"/>
      <c r="N144" s="13"/>
      <c r="O144" s="13"/>
      <c r="P144" s="41"/>
      <c r="R144" s="13"/>
      <c r="S144" s="41"/>
      <c r="T144" s="13"/>
      <c r="U144" s="13"/>
      <c r="V144" s="13"/>
      <c r="W144" s="13"/>
      <c r="X144" s="13"/>
      <c r="Y144" s="1"/>
      <c r="Z144" s="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41"/>
      <c r="N145" s="13"/>
      <c r="O145" s="13"/>
      <c r="P145" s="41"/>
      <c r="R145" s="13"/>
      <c r="S145" s="41"/>
      <c r="T145" s="13"/>
      <c r="U145" s="13"/>
      <c r="V145" s="13"/>
      <c r="W145" s="13"/>
      <c r="X145" s="13"/>
      <c r="Y145" s="1"/>
      <c r="Z145" s="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41"/>
      <c r="N146" s="13"/>
      <c r="O146" s="13"/>
      <c r="P146" s="41"/>
      <c r="R146" s="13"/>
      <c r="S146" s="41"/>
      <c r="T146" s="13"/>
      <c r="U146" s="13"/>
      <c r="V146" s="13"/>
      <c r="W146" s="13"/>
      <c r="X146" s="13"/>
      <c r="Y146" s="1"/>
      <c r="Z146" s="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41"/>
      <c r="N147" s="13"/>
      <c r="O147" s="13"/>
      <c r="P147" s="41"/>
      <c r="R147" s="13"/>
      <c r="S147" s="41"/>
      <c r="T147" s="13"/>
      <c r="U147" s="13"/>
      <c r="V147" s="13"/>
      <c r="W147" s="13"/>
      <c r="X147" s="13"/>
      <c r="Y147" s="1"/>
      <c r="Z147" s="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41"/>
      <c r="N148" s="13"/>
      <c r="O148" s="13"/>
      <c r="P148" s="41"/>
      <c r="R148" s="13"/>
      <c r="S148" s="41"/>
      <c r="T148" s="13"/>
      <c r="U148" s="13"/>
      <c r="V148" s="13"/>
      <c r="W148" s="13"/>
      <c r="X148" s="13"/>
      <c r="Y148" s="1"/>
      <c r="Z148" s="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41"/>
      <c r="N149" s="13"/>
      <c r="O149" s="13"/>
      <c r="P149" s="41"/>
      <c r="R149" s="13"/>
      <c r="S149" s="41"/>
      <c r="T149" s="13"/>
      <c r="U149" s="13"/>
      <c r="V149" s="13"/>
      <c r="W149" s="13"/>
      <c r="X149" s="13"/>
      <c r="Y149" s="1"/>
      <c r="Z149" s="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41"/>
      <c r="N150" s="13"/>
      <c r="O150" s="13"/>
      <c r="P150" s="41"/>
      <c r="R150" s="13"/>
      <c r="S150" s="41"/>
      <c r="T150" s="13"/>
      <c r="U150" s="13"/>
      <c r="V150" s="13"/>
      <c r="W150" s="13"/>
      <c r="X150" s="13"/>
      <c r="Y150" s="1"/>
      <c r="Z150" s="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41"/>
      <c r="N151" s="13"/>
      <c r="O151" s="13"/>
      <c r="P151" s="41"/>
      <c r="R151" s="13"/>
      <c r="S151" s="41"/>
      <c r="T151" s="13"/>
      <c r="U151" s="13"/>
      <c r="V151" s="13"/>
      <c r="W151" s="13"/>
      <c r="X151" s="13"/>
      <c r="Y151" s="1"/>
      <c r="Z151" s="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41"/>
      <c r="N152" s="13"/>
      <c r="O152" s="13"/>
      <c r="P152" s="41"/>
      <c r="R152" s="13"/>
      <c r="S152" s="41"/>
      <c r="T152" s="13"/>
      <c r="U152" s="13"/>
      <c r="V152" s="13"/>
      <c r="W152" s="13"/>
      <c r="X152" s="13"/>
      <c r="Y152" s="1"/>
      <c r="Z152" s="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41"/>
      <c r="N153" s="13"/>
      <c r="O153" s="13"/>
      <c r="P153" s="41"/>
      <c r="R153" s="13"/>
      <c r="S153" s="41"/>
      <c r="T153" s="13"/>
      <c r="U153" s="13"/>
      <c r="V153" s="13"/>
      <c r="W153" s="13"/>
      <c r="X153" s="13"/>
      <c r="Y153" s="1"/>
      <c r="Z153" s="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41"/>
      <c r="N154" s="13"/>
      <c r="O154" s="13"/>
      <c r="P154" s="41"/>
      <c r="R154" s="13"/>
      <c r="S154" s="41"/>
      <c r="T154" s="13"/>
      <c r="U154" s="13"/>
      <c r="V154" s="13"/>
      <c r="W154" s="13"/>
      <c r="X154" s="13"/>
      <c r="Y154" s="1"/>
      <c r="Z154" s="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41"/>
      <c r="N155" s="13"/>
      <c r="O155" s="13"/>
      <c r="P155" s="41"/>
      <c r="R155" s="13"/>
      <c r="S155" s="41"/>
      <c r="T155" s="13"/>
      <c r="U155" s="13"/>
      <c r="V155" s="13"/>
      <c r="W155" s="13"/>
      <c r="X155" s="13"/>
      <c r="Y155" s="1"/>
      <c r="Z155" s="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41"/>
      <c r="N156" s="13"/>
      <c r="O156" s="13"/>
      <c r="P156" s="41"/>
      <c r="R156" s="13"/>
      <c r="S156" s="41"/>
      <c r="T156" s="13"/>
      <c r="U156" s="13"/>
      <c r="V156" s="13"/>
      <c r="W156" s="13"/>
      <c r="X156" s="13"/>
      <c r="Y156" s="1"/>
      <c r="Z156" s="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41"/>
      <c r="N157" s="13"/>
      <c r="O157" s="13"/>
      <c r="P157" s="41"/>
      <c r="R157" s="13"/>
      <c r="S157" s="41"/>
      <c r="T157" s="13"/>
      <c r="U157" s="13"/>
      <c r="V157" s="13"/>
      <c r="W157" s="13"/>
      <c r="X157" s="13"/>
      <c r="Y157" s="1"/>
      <c r="Z157" s="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41"/>
      <c r="N158" s="13"/>
      <c r="O158" s="13"/>
      <c r="P158" s="41"/>
      <c r="R158" s="13"/>
      <c r="S158" s="41"/>
      <c r="T158" s="13"/>
      <c r="U158" s="13"/>
      <c r="V158" s="13"/>
      <c r="W158" s="13"/>
      <c r="X158" s="13"/>
      <c r="Y158" s="1"/>
      <c r="Z158" s="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41"/>
      <c r="N159" s="13"/>
      <c r="O159" s="13"/>
      <c r="P159" s="41"/>
      <c r="R159" s="13"/>
      <c r="S159" s="41"/>
      <c r="T159" s="13"/>
      <c r="U159" s="13"/>
      <c r="V159" s="13"/>
      <c r="W159" s="13"/>
      <c r="X159" s="13"/>
      <c r="Y159" s="1"/>
      <c r="Z159" s="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41"/>
      <c r="N160" s="13"/>
      <c r="O160" s="13"/>
      <c r="P160" s="41"/>
      <c r="R160" s="13"/>
      <c r="S160" s="41"/>
      <c r="T160" s="13"/>
      <c r="U160" s="13"/>
      <c r="V160" s="13"/>
      <c r="W160" s="13"/>
      <c r="X160" s="13"/>
      <c r="Y160" s="1"/>
      <c r="Z160" s="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41"/>
      <c r="N161" s="13"/>
      <c r="O161" s="13"/>
      <c r="P161" s="41"/>
      <c r="R161" s="13"/>
      <c r="S161" s="41"/>
      <c r="T161" s="13"/>
      <c r="U161" s="13"/>
      <c r="V161" s="13"/>
      <c r="W161" s="13"/>
      <c r="X161" s="13"/>
      <c r="Y161" s="1"/>
      <c r="Z161" s="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41"/>
      <c r="N162" s="13"/>
      <c r="O162" s="13"/>
      <c r="P162" s="41"/>
      <c r="R162" s="13"/>
      <c r="S162" s="41"/>
      <c r="T162" s="13"/>
      <c r="U162" s="13"/>
      <c r="V162" s="13"/>
      <c r="W162" s="13"/>
      <c r="X162" s="13"/>
      <c r="Y162" s="1"/>
      <c r="Z162" s="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41"/>
      <c r="N163" s="13"/>
      <c r="O163" s="13"/>
      <c r="P163" s="41"/>
      <c r="R163" s="13"/>
      <c r="S163" s="41"/>
      <c r="T163" s="13"/>
      <c r="U163" s="13"/>
      <c r="V163" s="13"/>
      <c r="W163" s="13"/>
      <c r="X163" s="13"/>
      <c r="Y163" s="1"/>
      <c r="Z163" s="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41"/>
      <c r="N164" s="13"/>
      <c r="O164" s="13"/>
      <c r="P164" s="41"/>
      <c r="R164" s="13"/>
      <c r="S164" s="41"/>
      <c r="T164" s="13"/>
      <c r="U164" s="13"/>
      <c r="V164" s="13"/>
      <c r="W164" s="13"/>
      <c r="X164" s="13"/>
      <c r="Y164" s="1"/>
      <c r="Z164" s="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41"/>
      <c r="N165" s="13"/>
      <c r="O165" s="13"/>
      <c r="P165" s="41"/>
      <c r="R165" s="13"/>
      <c r="S165" s="41"/>
      <c r="T165" s="13"/>
      <c r="U165" s="13"/>
      <c r="V165" s="13"/>
      <c r="W165" s="13"/>
      <c r="X165" s="13"/>
      <c r="Y165" s="1"/>
      <c r="Z165" s="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41"/>
      <c r="N166" s="13"/>
      <c r="O166" s="13"/>
      <c r="P166" s="41"/>
      <c r="R166" s="13"/>
      <c r="S166" s="41"/>
      <c r="T166" s="13"/>
      <c r="U166" s="13"/>
      <c r="V166" s="13"/>
      <c r="W166" s="13"/>
      <c r="X166" s="13"/>
      <c r="Y166" s="1"/>
      <c r="Z166" s="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41"/>
      <c r="N167" s="13"/>
      <c r="O167" s="13"/>
      <c r="P167" s="41"/>
      <c r="R167" s="13"/>
      <c r="S167" s="41"/>
      <c r="T167" s="13"/>
      <c r="U167" s="13"/>
      <c r="V167" s="13"/>
      <c r="W167" s="13"/>
      <c r="X167" s="13"/>
      <c r="Y167" s="1"/>
      <c r="Z167" s="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41"/>
      <c r="N168" s="13"/>
      <c r="O168" s="13"/>
      <c r="P168" s="41"/>
      <c r="R168" s="13"/>
      <c r="S168" s="41"/>
      <c r="T168" s="13"/>
      <c r="U168" s="13"/>
      <c r="V168" s="13"/>
      <c r="W168" s="13"/>
      <c r="X168" s="13"/>
      <c r="Y168" s="1"/>
      <c r="Z168" s="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41"/>
      <c r="N169" s="13"/>
      <c r="O169" s="13"/>
      <c r="P169" s="41"/>
      <c r="R169" s="13"/>
      <c r="S169" s="41"/>
      <c r="T169" s="13"/>
      <c r="U169" s="13"/>
      <c r="V169" s="13"/>
      <c r="W169" s="13"/>
      <c r="X169" s="13"/>
      <c r="Y169" s="1"/>
      <c r="Z169" s="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41"/>
      <c r="N170" s="13"/>
      <c r="O170" s="13"/>
      <c r="P170" s="41"/>
      <c r="R170" s="13"/>
      <c r="S170" s="41"/>
      <c r="T170" s="13"/>
      <c r="U170" s="13"/>
      <c r="V170" s="13"/>
      <c r="W170" s="13"/>
      <c r="X170" s="13"/>
      <c r="Y170" s="1"/>
      <c r="Z170" s="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41"/>
      <c r="N171" s="13"/>
      <c r="O171" s="13"/>
      <c r="P171" s="41"/>
      <c r="R171" s="13"/>
      <c r="S171" s="41"/>
      <c r="T171" s="13"/>
      <c r="U171" s="13"/>
      <c r="V171" s="13"/>
      <c r="W171" s="13"/>
      <c r="X171" s="13"/>
      <c r="Y171" s="1"/>
      <c r="Z171" s="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41"/>
      <c r="N172" s="13"/>
      <c r="O172" s="13"/>
      <c r="P172" s="41"/>
      <c r="R172" s="13"/>
      <c r="S172" s="41"/>
      <c r="T172" s="13"/>
      <c r="U172" s="13"/>
      <c r="V172" s="13"/>
      <c r="W172" s="13"/>
      <c r="X172" s="13"/>
      <c r="Y172" s="1"/>
      <c r="Z172" s="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41"/>
      <c r="N173" s="13"/>
      <c r="O173" s="13"/>
      <c r="P173" s="41"/>
      <c r="R173" s="13"/>
      <c r="S173" s="41"/>
      <c r="T173" s="13"/>
      <c r="U173" s="13"/>
      <c r="V173" s="13"/>
      <c r="W173" s="13"/>
      <c r="X173" s="13"/>
      <c r="Y173" s="1"/>
      <c r="Z173" s="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41"/>
      <c r="N174" s="13"/>
      <c r="O174" s="13"/>
      <c r="P174" s="41"/>
      <c r="R174" s="13"/>
      <c r="S174" s="41"/>
      <c r="T174" s="13"/>
      <c r="U174" s="13"/>
      <c r="V174" s="13"/>
      <c r="W174" s="13"/>
      <c r="X174" s="13"/>
      <c r="Y174" s="1"/>
      <c r="Z174" s="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41"/>
      <c r="N175" s="13"/>
      <c r="O175" s="13"/>
      <c r="P175" s="41"/>
      <c r="R175" s="13"/>
      <c r="S175" s="41"/>
      <c r="T175" s="13"/>
      <c r="U175" s="13"/>
      <c r="V175" s="13"/>
      <c r="W175" s="13"/>
      <c r="X175" s="13"/>
      <c r="Y175" s="1"/>
      <c r="Z175" s="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41"/>
      <c r="N176" s="13"/>
      <c r="O176" s="13"/>
      <c r="P176" s="41"/>
      <c r="R176" s="13"/>
      <c r="S176" s="41"/>
      <c r="T176" s="13"/>
      <c r="U176" s="13"/>
      <c r="V176" s="13"/>
      <c r="W176" s="13"/>
      <c r="X176" s="13"/>
      <c r="Y176" s="1"/>
      <c r="Z176" s="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41"/>
      <c r="N177" s="13"/>
      <c r="O177" s="13"/>
      <c r="P177" s="41"/>
      <c r="R177" s="13"/>
      <c r="S177" s="41"/>
      <c r="T177" s="13"/>
      <c r="U177" s="13"/>
      <c r="V177" s="13"/>
      <c r="W177" s="13"/>
      <c r="X177" s="13"/>
      <c r="Y177" s="1"/>
      <c r="Z177" s="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41"/>
      <c r="N178" s="13"/>
      <c r="O178" s="13"/>
      <c r="P178" s="41"/>
      <c r="R178" s="13"/>
      <c r="S178" s="41"/>
      <c r="T178" s="13"/>
      <c r="U178" s="13"/>
      <c r="V178" s="13"/>
      <c r="W178" s="13"/>
      <c r="X178" s="13"/>
      <c r="Y178" s="1"/>
      <c r="Z178" s="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41"/>
      <c r="N179" s="13"/>
      <c r="O179" s="13"/>
      <c r="P179" s="41"/>
      <c r="R179" s="13"/>
      <c r="S179" s="41"/>
      <c r="T179" s="13"/>
      <c r="U179" s="13"/>
      <c r="V179" s="13"/>
      <c r="W179" s="13"/>
      <c r="X179" s="13"/>
      <c r="Y179" s="1"/>
      <c r="Z179" s="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41"/>
      <c r="N180" s="13"/>
      <c r="O180" s="13"/>
      <c r="P180" s="41"/>
      <c r="R180" s="13"/>
      <c r="S180" s="41"/>
      <c r="T180" s="13"/>
      <c r="U180" s="13"/>
      <c r="V180" s="13"/>
      <c r="W180" s="13"/>
      <c r="X180" s="13"/>
      <c r="Y180" s="1"/>
      <c r="Z180" s="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41"/>
      <c r="N181" s="13"/>
      <c r="O181" s="13"/>
      <c r="P181" s="41"/>
      <c r="R181" s="13"/>
      <c r="S181" s="41"/>
      <c r="T181" s="13"/>
      <c r="U181" s="13"/>
      <c r="V181" s="13"/>
      <c r="W181" s="13"/>
      <c r="X181" s="13"/>
      <c r="Y181" s="1"/>
      <c r="Z181" s="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41"/>
      <c r="N182" s="13"/>
      <c r="O182" s="13"/>
      <c r="P182" s="41"/>
      <c r="R182" s="13"/>
      <c r="S182" s="41"/>
      <c r="T182" s="13"/>
      <c r="U182" s="13"/>
      <c r="V182" s="13"/>
      <c r="W182" s="13"/>
      <c r="X182" s="13"/>
      <c r="Y182" s="1"/>
      <c r="Z182" s="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41"/>
      <c r="N183" s="13"/>
      <c r="O183" s="13"/>
      <c r="P183" s="41"/>
      <c r="R183" s="13"/>
      <c r="S183" s="41"/>
      <c r="T183" s="13"/>
      <c r="U183" s="13"/>
      <c r="V183" s="13"/>
      <c r="W183" s="13"/>
      <c r="X183" s="13"/>
      <c r="Y183" s="1"/>
      <c r="Z183" s="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41"/>
      <c r="N184" s="13"/>
      <c r="O184" s="13"/>
      <c r="P184" s="41"/>
      <c r="R184" s="13"/>
      <c r="S184" s="41"/>
      <c r="T184" s="13"/>
      <c r="U184" s="13"/>
      <c r="V184" s="13"/>
      <c r="W184" s="13"/>
      <c r="X184" s="13"/>
      <c r="Y184" s="1"/>
      <c r="Z184" s="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41"/>
      <c r="N185" s="13"/>
      <c r="O185" s="13"/>
      <c r="P185" s="41"/>
      <c r="R185" s="13"/>
      <c r="S185" s="41"/>
      <c r="T185" s="13"/>
      <c r="U185" s="13"/>
      <c r="V185" s="13"/>
      <c r="W185" s="13"/>
      <c r="X185" s="13"/>
      <c r="Y185" s="1"/>
      <c r="Z185" s="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41"/>
      <c r="N186" s="13"/>
      <c r="O186" s="13"/>
      <c r="P186" s="41"/>
      <c r="R186" s="13"/>
      <c r="S186" s="41"/>
      <c r="T186" s="13"/>
      <c r="U186" s="13"/>
      <c r="V186" s="13"/>
      <c r="W186" s="13"/>
      <c r="X186" s="13"/>
      <c r="Y186" s="1"/>
      <c r="Z186" s="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41"/>
      <c r="N187" s="13"/>
      <c r="O187" s="13"/>
      <c r="P187" s="41"/>
      <c r="R187" s="13"/>
      <c r="S187" s="41"/>
      <c r="T187" s="13"/>
      <c r="U187" s="13"/>
      <c r="V187" s="13"/>
      <c r="W187" s="13"/>
      <c r="X187" s="13"/>
      <c r="Y187" s="1"/>
      <c r="Z187" s="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41"/>
      <c r="N188" s="13"/>
      <c r="O188" s="13"/>
      <c r="P188" s="41"/>
      <c r="R188" s="13"/>
      <c r="S188" s="41"/>
      <c r="T188" s="13"/>
      <c r="U188" s="13"/>
      <c r="V188" s="13"/>
      <c r="W188" s="13"/>
      <c r="X188" s="13"/>
      <c r="Y188" s="1"/>
      <c r="Z188" s="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41"/>
      <c r="N189" s="13"/>
      <c r="O189" s="13"/>
      <c r="P189" s="41"/>
      <c r="R189" s="13"/>
      <c r="S189" s="41"/>
      <c r="T189" s="13"/>
      <c r="U189" s="13"/>
      <c r="V189" s="13"/>
      <c r="W189" s="13"/>
      <c r="X189" s="13"/>
      <c r="Y189" s="1"/>
      <c r="Z189" s="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41"/>
      <c r="N190" s="13"/>
      <c r="O190" s="13"/>
      <c r="P190" s="41"/>
      <c r="R190" s="13"/>
      <c r="S190" s="41"/>
      <c r="T190" s="13"/>
      <c r="U190" s="13"/>
      <c r="V190" s="13"/>
      <c r="W190" s="13"/>
      <c r="X190" s="13"/>
      <c r="Y190" s="1"/>
      <c r="Z190" s="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41"/>
      <c r="N191" s="13"/>
      <c r="O191" s="13"/>
      <c r="P191" s="41"/>
      <c r="R191" s="13"/>
      <c r="S191" s="41"/>
      <c r="T191" s="13"/>
      <c r="U191" s="13"/>
      <c r="V191" s="13"/>
      <c r="W191" s="13"/>
      <c r="X191" s="13"/>
      <c r="Y191" s="1"/>
      <c r="Z191" s="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41"/>
      <c r="N192" s="13"/>
      <c r="O192" s="13"/>
      <c r="P192" s="41"/>
      <c r="R192" s="13"/>
      <c r="S192" s="41"/>
      <c r="T192" s="13"/>
      <c r="U192" s="13"/>
      <c r="V192" s="13"/>
      <c r="W192" s="13"/>
      <c r="X192" s="13"/>
      <c r="Y192" s="1"/>
      <c r="Z192" s="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41"/>
      <c r="N193" s="13"/>
      <c r="O193" s="13"/>
      <c r="P193" s="41"/>
      <c r="R193" s="13"/>
      <c r="S193" s="41"/>
      <c r="T193" s="13"/>
      <c r="U193" s="13"/>
      <c r="V193" s="13"/>
      <c r="W193" s="13"/>
      <c r="X193" s="13"/>
      <c r="Y193" s="1"/>
      <c r="Z193" s="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41"/>
      <c r="N194" s="13"/>
      <c r="O194" s="13"/>
      <c r="P194" s="41"/>
      <c r="R194" s="13"/>
      <c r="S194" s="41"/>
      <c r="T194" s="13"/>
      <c r="U194" s="13"/>
      <c r="V194" s="13"/>
      <c r="W194" s="13"/>
      <c r="X194" s="13"/>
      <c r="Y194" s="1"/>
      <c r="Z194" s="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41"/>
      <c r="N195" s="13"/>
      <c r="O195" s="13"/>
      <c r="P195" s="41"/>
      <c r="R195" s="13"/>
      <c r="S195" s="41"/>
      <c r="T195" s="13"/>
      <c r="U195" s="13"/>
      <c r="V195" s="13"/>
      <c r="W195" s="13"/>
      <c r="X195" s="13"/>
      <c r="Y195" s="1"/>
      <c r="Z195" s="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41"/>
      <c r="N196" s="13"/>
      <c r="O196" s="13"/>
      <c r="P196" s="41"/>
      <c r="R196" s="13"/>
      <c r="S196" s="41"/>
      <c r="T196" s="13"/>
      <c r="U196" s="13"/>
      <c r="V196" s="13"/>
      <c r="W196" s="13"/>
      <c r="X196" s="13"/>
      <c r="Y196" s="1"/>
      <c r="Z196" s="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41"/>
      <c r="N197" s="13"/>
      <c r="O197" s="13"/>
      <c r="P197" s="41"/>
      <c r="R197" s="13"/>
      <c r="S197" s="41"/>
      <c r="T197" s="13"/>
      <c r="U197" s="13"/>
      <c r="V197" s="13"/>
      <c r="W197" s="13"/>
      <c r="X197" s="13"/>
      <c r="Y197" s="1"/>
      <c r="Z197" s="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41"/>
      <c r="N198" s="13"/>
      <c r="O198" s="13"/>
      <c r="P198" s="41"/>
      <c r="R198" s="13"/>
      <c r="S198" s="41"/>
      <c r="T198" s="13"/>
      <c r="U198" s="13"/>
      <c r="V198" s="13"/>
      <c r="W198" s="13"/>
      <c r="X198" s="13"/>
      <c r="Y198" s="1"/>
      <c r="Z198" s="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41"/>
      <c r="N199" s="13"/>
      <c r="O199" s="13"/>
      <c r="P199" s="41"/>
      <c r="R199" s="13"/>
      <c r="S199" s="41"/>
      <c r="T199" s="13"/>
      <c r="U199" s="13"/>
      <c r="V199" s="13"/>
      <c r="W199" s="13"/>
      <c r="X199" s="13"/>
      <c r="Y199" s="1"/>
      <c r="Z199" s="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41"/>
      <c r="N200" s="13"/>
      <c r="O200" s="13"/>
      <c r="P200" s="41"/>
      <c r="R200" s="13"/>
      <c r="S200" s="41"/>
      <c r="T200" s="13"/>
      <c r="U200" s="13"/>
      <c r="V200" s="13"/>
      <c r="W200" s="13"/>
      <c r="X200" s="13"/>
      <c r="Y200" s="1"/>
      <c r="Z200" s="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41"/>
      <c r="N201" s="13"/>
      <c r="O201" s="13"/>
      <c r="P201" s="41"/>
      <c r="R201" s="13"/>
      <c r="S201" s="41"/>
      <c r="T201" s="13"/>
      <c r="U201" s="13"/>
      <c r="V201" s="13"/>
      <c r="W201" s="13"/>
      <c r="X201" s="13"/>
      <c r="Y201" s="1"/>
      <c r="Z201" s="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41"/>
      <c r="N202" s="13"/>
      <c r="O202" s="13"/>
      <c r="P202" s="41"/>
      <c r="R202" s="13"/>
      <c r="S202" s="41"/>
      <c r="T202" s="13"/>
      <c r="U202" s="13"/>
      <c r="V202" s="13"/>
      <c r="W202" s="13"/>
      <c r="X202" s="13"/>
      <c r="Y202" s="1"/>
      <c r="Z202" s="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41"/>
      <c r="N203" s="13"/>
      <c r="O203" s="13"/>
      <c r="P203" s="41"/>
      <c r="R203" s="13"/>
      <c r="S203" s="41"/>
      <c r="T203" s="13"/>
      <c r="U203" s="13"/>
      <c r="V203" s="13"/>
      <c r="W203" s="13"/>
      <c r="X203" s="13"/>
      <c r="Y203" s="1"/>
      <c r="Z203" s="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41"/>
      <c r="N204" s="13"/>
      <c r="O204" s="13"/>
      <c r="P204" s="41"/>
      <c r="R204" s="13"/>
      <c r="S204" s="41"/>
      <c r="T204" s="13"/>
      <c r="U204" s="13"/>
      <c r="V204" s="13"/>
      <c r="W204" s="13"/>
      <c r="X204" s="13"/>
      <c r="Y204" s="1"/>
      <c r="Z204" s="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41"/>
      <c r="N205" s="13"/>
      <c r="O205" s="13"/>
      <c r="P205" s="41"/>
      <c r="R205" s="13"/>
      <c r="S205" s="41"/>
      <c r="T205" s="13"/>
      <c r="U205" s="13"/>
      <c r="V205" s="13"/>
      <c r="W205" s="13"/>
      <c r="X205" s="13"/>
      <c r="Y205" s="1"/>
      <c r="Z205" s="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41"/>
      <c r="N206" s="13"/>
      <c r="O206" s="13"/>
      <c r="P206" s="41"/>
      <c r="R206" s="13"/>
      <c r="S206" s="41"/>
      <c r="T206" s="13"/>
      <c r="U206" s="13"/>
      <c r="V206" s="13"/>
      <c r="W206" s="13"/>
      <c r="X206" s="13"/>
      <c r="Y206" s="1"/>
      <c r="Z206" s="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41"/>
      <c r="N207" s="13"/>
      <c r="O207" s="13"/>
      <c r="P207" s="41"/>
      <c r="R207" s="13"/>
      <c r="S207" s="41"/>
      <c r="T207" s="13"/>
      <c r="U207" s="13"/>
      <c r="V207" s="13"/>
      <c r="W207" s="13"/>
      <c r="X207" s="13"/>
      <c r="Y207" s="1"/>
      <c r="Z207" s="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41"/>
      <c r="N208" s="13"/>
      <c r="O208" s="13"/>
      <c r="P208" s="41"/>
      <c r="R208" s="13"/>
      <c r="S208" s="41"/>
      <c r="T208" s="13"/>
      <c r="U208" s="13"/>
      <c r="V208" s="13"/>
      <c r="W208" s="13"/>
      <c r="X208" s="13"/>
      <c r="Y208" s="1"/>
      <c r="Z208" s="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41"/>
      <c r="N209" s="13"/>
      <c r="O209" s="13"/>
      <c r="P209" s="41"/>
      <c r="R209" s="13"/>
      <c r="S209" s="41"/>
      <c r="T209" s="13"/>
      <c r="U209" s="13"/>
      <c r="V209" s="13"/>
      <c r="W209" s="13"/>
      <c r="X209" s="13"/>
      <c r="Y209" s="1"/>
      <c r="Z209" s="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41"/>
      <c r="N210" s="13"/>
      <c r="O210" s="13"/>
      <c r="P210" s="41"/>
      <c r="R210" s="13"/>
      <c r="S210" s="41"/>
      <c r="T210" s="13"/>
      <c r="U210" s="13"/>
      <c r="V210" s="13"/>
      <c r="W210" s="13"/>
      <c r="X210" s="13"/>
      <c r="Y210" s="1"/>
      <c r="Z210" s="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41"/>
      <c r="N211" s="13"/>
      <c r="O211" s="13"/>
      <c r="P211" s="41"/>
      <c r="R211" s="13"/>
      <c r="S211" s="41"/>
      <c r="T211" s="13"/>
      <c r="U211" s="13"/>
      <c r="V211" s="13"/>
      <c r="W211" s="13"/>
      <c r="X211" s="13"/>
      <c r="Y211" s="1"/>
      <c r="Z211" s="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41"/>
      <c r="N212" s="13"/>
      <c r="O212" s="13"/>
      <c r="P212" s="41"/>
      <c r="R212" s="13"/>
      <c r="S212" s="41"/>
      <c r="T212" s="13"/>
      <c r="U212" s="13"/>
      <c r="V212" s="13"/>
      <c r="W212" s="13"/>
      <c r="X212" s="13"/>
      <c r="Y212" s="1"/>
      <c r="Z212" s="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41"/>
      <c r="N213" s="13"/>
      <c r="O213" s="13"/>
      <c r="P213" s="41"/>
      <c r="R213" s="13"/>
      <c r="S213" s="41"/>
      <c r="T213" s="13"/>
      <c r="U213" s="13"/>
      <c r="V213" s="13"/>
      <c r="W213" s="13"/>
      <c r="X213" s="13"/>
      <c r="Y213" s="1"/>
      <c r="Z213" s="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41"/>
      <c r="N214" s="13"/>
      <c r="O214" s="13"/>
      <c r="P214" s="41"/>
      <c r="R214" s="13"/>
      <c r="S214" s="41"/>
      <c r="T214" s="13"/>
      <c r="U214" s="13"/>
      <c r="V214" s="13"/>
      <c r="W214" s="13"/>
      <c r="X214" s="13"/>
      <c r="Y214" s="1"/>
      <c r="Z214" s="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41"/>
      <c r="N215" s="13"/>
      <c r="O215" s="13"/>
      <c r="P215" s="41"/>
      <c r="R215" s="13"/>
      <c r="S215" s="41"/>
      <c r="T215" s="13"/>
      <c r="U215" s="13"/>
      <c r="V215" s="13"/>
      <c r="W215" s="13"/>
      <c r="X215" s="13"/>
      <c r="Y215" s="1"/>
      <c r="Z215" s="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41"/>
      <c r="N216" s="13"/>
      <c r="O216" s="13"/>
      <c r="P216" s="41"/>
      <c r="R216" s="13"/>
      <c r="S216" s="41"/>
      <c r="T216" s="13"/>
      <c r="U216" s="13"/>
      <c r="V216" s="13"/>
      <c r="W216" s="13"/>
      <c r="X216" s="13"/>
      <c r="Y216" s="1"/>
      <c r="Z216" s="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41"/>
      <c r="N217" s="13"/>
      <c r="O217" s="13"/>
      <c r="P217" s="41"/>
      <c r="R217" s="13"/>
      <c r="S217" s="41"/>
      <c r="T217" s="13"/>
      <c r="U217" s="13"/>
      <c r="V217" s="13"/>
      <c r="W217" s="13"/>
      <c r="X217" s="13"/>
      <c r="Y217" s="1"/>
      <c r="Z217" s="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41"/>
      <c r="N218" s="13"/>
      <c r="O218" s="13"/>
      <c r="P218" s="41"/>
      <c r="R218" s="13"/>
      <c r="S218" s="41"/>
      <c r="T218" s="13"/>
      <c r="U218" s="13"/>
      <c r="V218" s="13"/>
      <c r="W218" s="13"/>
      <c r="X218" s="13"/>
      <c r="Y218" s="1"/>
      <c r="Z218" s="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41"/>
      <c r="N219" s="13"/>
      <c r="O219" s="13"/>
      <c r="P219" s="41"/>
      <c r="R219" s="13"/>
      <c r="S219" s="41"/>
      <c r="T219" s="13"/>
      <c r="U219" s="13"/>
      <c r="V219" s="13"/>
      <c r="W219" s="13"/>
      <c r="X219" s="13"/>
      <c r="Y219" s="1"/>
      <c r="Z219" s="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41"/>
      <c r="N220" s="13"/>
      <c r="O220" s="13"/>
      <c r="P220" s="41"/>
      <c r="R220" s="13"/>
      <c r="S220" s="41"/>
      <c r="T220" s="13"/>
      <c r="U220" s="13"/>
      <c r="V220" s="13"/>
      <c r="W220" s="13"/>
      <c r="X220" s="13"/>
      <c r="Y220" s="1"/>
      <c r="Z220" s="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548</v>
      </c>
      <c r="B1" s="2" t="s">
        <v>549</v>
      </c>
      <c r="C1" s="2" t="s">
        <v>550</v>
      </c>
      <c r="D1" s="2" t="s">
        <v>551</v>
      </c>
      <c r="E1" s="2" t="s">
        <v>552</v>
      </c>
      <c r="F1" s="2" t="s">
        <v>553</v>
      </c>
      <c r="G1" s="1" t="s">
        <v>192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  <c r="M1" s="40" t="s">
        <v>579</v>
      </c>
      <c r="N1" s="40" t="s">
        <v>580</v>
      </c>
      <c r="O1" s="1" t="s">
        <v>581</v>
      </c>
      <c r="P1" s="40" t="s">
        <v>582</v>
      </c>
      <c r="Q1" s="42" t="s">
        <v>583</v>
      </c>
      <c r="R1" s="1" t="s">
        <v>584</v>
      </c>
      <c r="S1" s="40" t="s">
        <v>585</v>
      </c>
      <c r="T1" s="40" t="s">
        <v>586</v>
      </c>
      <c r="U1" s="1" t="s">
        <v>587</v>
      </c>
      <c r="V1" s="1" t="s">
        <v>588</v>
      </c>
      <c r="W1" s="1" t="s">
        <v>589</v>
      </c>
      <c r="X1" s="1" t="s">
        <v>564</v>
      </c>
      <c r="Y1" s="1" t="s">
        <v>590</v>
      </c>
      <c r="Z1" s="1" t="s">
        <v>591</v>
      </c>
      <c r="AA1" s="1" t="s">
        <v>592</v>
      </c>
      <c r="AB1" s="1" t="s">
        <v>567</v>
      </c>
      <c r="AC1" s="1" t="s">
        <v>593</v>
      </c>
      <c r="AD1" s="1" t="s">
        <v>594</v>
      </c>
      <c r="AE1" s="1" t="s">
        <v>595</v>
      </c>
      <c r="AF1" s="1" t="s">
        <v>596</v>
      </c>
      <c r="AG1" s="1" t="s">
        <v>597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600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41">
        <f>IF($A2="", -1, $F2)</f>
        <v>0</v>
      </c>
      <c r="N2" s="41">
        <f>IF($A2="", -1, $E2)</f>
        <v>0</v>
      </c>
      <c r="O2" s="13">
        <f>IF($A2="", -1, $D2)</f>
        <v>0</v>
      </c>
      <c r="P2" s="41">
        <f>IF($A2="", -1, $M2-1)</f>
        <v>-1</v>
      </c>
      <c r="Q2" s="41">
        <f>IF($A2="", -1, $N2-1)</f>
        <v>-1</v>
      </c>
      <c r="R2" s="13">
        <f>IF($A2="", -1, $O2-1)</f>
        <v>-1</v>
      </c>
      <c r="S2" s="41">
        <f>IF($A2="", -1, $M2+1)</f>
        <v>1</v>
      </c>
      <c r="T2" s="41">
        <f>IF($A2="", -1, $N2+1)</f>
        <v>1</v>
      </c>
      <c r="U2" s="13">
        <f>IF($A2="", -1, $O2+1)</f>
        <v>1</v>
      </c>
      <c r="V2" s="13">
        <f>README!$B$49</f>
        <v>-1</v>
      </c>
      <c r="W2" s="13">
        <f>README!$B$38</f>
        <v>-1</v>
      </c>
      <c r="X2" s="13">
        <f>README!$H$2</f>
        <v>-1</v>
      </c>
      <c r="Y2" s="13">
        <f>COUNTIFS(StageEpisode!$O:$O, $O2)</f>
        <v>1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README!$B$14, 0)</f>
        <v>-1, 0</v>
      </c>
      <c r="AD2" s="13" t="str">
        <f>JOIN(", ", README!$L$2, README!$B$27, -1, README!$B$9, 0)</f>
        <v>-1, -1, -1, -1, 0</v>
      </c>
      <c r="AE2" s="13" t="str">
        <f>JOIN(", ", README!$L$2, README!$B$27, -1, README!$B$9, 0)</f>
        <v>-1, -1, -1, -1, 0</v>
      </c>
      <c r="AF2" s="13" t="str">
        <f>JOIN(", ", README!$L$3, README!$B$27, -1, README!$B$10, 0)</f>
        <v>0, -1, -1, 0, 0</v>
      </c>
      <c r="AG2" s="13" t="str">
        <f>JOIN(", ", README!$L$15, README!$B$27,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41"/>
      <c r="N3" s="41"/>
      <c r="O3" s="13"/>
      <c r="P3" s="41"/>
      <c r="Q3" s="42"/>
      <c r="R3" s="13"/>
      <c r="S3" s="41"/>
      <c r="T3" s="41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41"/>
      <c r="N4" s="41"/>
      <c r="O4" s="13"/>
      <c r="P4" s="41"/>
      <c r="Q4" s="42"/>
      <c r="R4" s="13"/>
      <c r="S4" s="41"/>
      <c r="T4" s="41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41"/>
      <c r="N5" s="41"/>
      <c r="O5" s="13"/>
      <c r="P5" s="41"/>
      <c r="Q5" s="42"/>
      <c r="R5" s="13"/>
      <c r="S5" s="41"/>
      <c r="T5" s="41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41"/>
      <c r="N6" s="41"/>
      <c r="O6" s="13"/>
      <c r="P6" s="41"/>
      <c r="Q6" s="42"/>
      <c r="R6" s="13"/>
      <c r="S6" s="41"/>
      <c r="T6" s="41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41"/>
      <c r="N7" s="41"/>
      <c r="O7" s="13"/>
      <c r="P7" s="41"/>
      <c r="Q7" s="42"/>
      <c r="R7" s="13"/>
      <c r="S7" s="41"/>
      <c r="T7" s="41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41"/>
      <c r="N8" s="41"/>
      <c r="O8" s="13"/>
      <c r="P8" s="41"/>
      <c r="Q8" s="42"/>
      <c r="R8" s="13"/>
      <c r="S8" s="41"/>
      <c r="T8" s="41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41"/>
      <c r="N9" s="41"/>
      <c r="O9" s="13"/>
      <c r="P9" s="41"/>
      <c r="Q9" s="42"/>
      <c r="R9" s="13"/>
      <c r="S9" s="41"/>
      <c r="T9" s="41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41"/>
      <c r="N10" s="41"/>
      <c r="O10" s="13"/>
      <c r="P10" s="41"/>
      <c r="Q10" s="42"/>
      <c r="R10" s="13"/>
      <c r="S10" s="41"/>
      <c r="T10" s="41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41"/>
      <c r="N11" s="41"/>
      <c r="O11" s="13"/>
      <c r="P11" s="41"/>
      <c r="Q11" s="42"/>
      <c r="R11" s="13"/>
      <c r="S11" s="41"/>
      <c r="T11" s="41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41"/>
      <c r="N12" s="41"/>
      <c r="O12" s="13"/>
      <c r="P12" s="41"/>
      <c r="Q12" s="42"/>
      <c r="R12" s="13"/>
      <c r="S12" s="41"/>
      <c r="T12" s="41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41"/>
      <c r="N13" s="41"/>
      <c r="O13" s="13"/>
      <c r="P13" s="41"/>
      <c r="Q13" s="42"/>
      <c r="R13" s="13"/>
      <c r="S13" s="41"/>
      <c r="T13" s="41"/>
      <c r="U13" s="13"/>
      <c r="V13" s="13"/>
      <c r="W13" s="13"/>
      <c r="X13" s="13"/>
      <c r="Y13" s="1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41"/>
      <c r="N14" s="41"/>
      <c r="O14" s="13"/>
      <c r="P14" s="41"/>
      <c r="Q14" s="42"/>
      <c r="R14" s="13"/>
      <c r="S14" s="41"/>
      <c r="T14" s="41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41"/>
      <c r="N15" s="41"/>
      <c r="O15" s="13"/>
      <c r="P15" s="41"/>
      <c r="Q15" s="42"/>
      <c r="R15" s="13"/>
      <c r="S15" s="41"/>
      <c r="T15" s="41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41"/>
      <c r="N16" s="41"/>
      <c r="O16" s="13"/>
      <c r="P16" s="41"/>
      <c r="Q16" s="42"/>
      <c r="R16" s="13"/>
      <c r="S16" s="41"/>
      <c r="T16" s="41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41"/>
      <c r="N17" s="41"/>
      <c r="O17" s="13"/>
      <c r="P17" s="41"/>
      <c r="Q17" s="42"/>
      <c r="R17" s="13"/>
      <c r="S17" s="41"/>
      <c r="T17" s="41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41"/>
      <c r="N18" s="41"/>
      <c r="O18" s="13"/>
      <c r="P18" s="41"/>
      <c r="Q18" s="42"/>
      <c r="R18" s="13"/>
      <c r="S18" s="41"/>
      <c r="T18" s="41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41"/>
      <c r="N19" s="41"/>
      <c r="O19" s="13"/>
      <c r="P19" s="41"/>
      <c r="Q19" s="42"/>
      <c r="R19" s="13"/>
      <c r="S19" s="41"/>
      <c r="T19" s="41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41"/>
      <c r="N20" s="41"/>
      <c r="O20" s="13"/>
      <c r="P20" s="41"/>
      <c r="Q20" s="42"/>
      <c r="R20" s="13"/>
      <c r="S20" s="41"/>
      <c r="T20" s="41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41"/>
      <c r="N21" s="41"/>
      <c r="O21" s="13"/>
      <c r="P21" s="41"/>
      <c r="Q21" s="42"/>
      <c r="R21" s="13"/>
      <c r="S21" s="41"/>
      <c r="T21" s="41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41"/>
      <c r="N22" s="41"/>
      <c r="O22" s="13"/>
      <c r="P22" s="41"/>
      <c r="Q22" s="42"/>
      <c r="R22" s="13"/>
      <c r="S22" s="41"/>
      <c r="T22" s="41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41"/>
      <c r="N23" s="41"/>
      <c r="O23" s="13"/>
      <c r="P23" s="41"/>
      <c r="Q23" s="42"/>
      <c r="R23" s="13"/>
      <c r="S23" s="41"/>
      <c r="T23" s="41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41"/>
      <c r="N24" s="41"/>
      <c r="O24" s="13"/>
      <c r="P24" s="41"/>
      <c r="Q24" s="42"/>
      <c r="R24" s="13"/>
      <c r="S24" s="41"/>
      <c r="T24" s="41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41"/>
      <c r="N25" s="41"/>
      <c r="O25" s="13"/>
      <c r="P25" s="41"/>
      <c r="Q25" s="42"/>
      <c r="R25" s="13"/>
      <c r="S25" s="41"/>
      <c r="T25" s="41"/>
      <c r="U25" s="13"/>
      <c r="V25" s="13"/>
      <c r="W25" s="13"/>
      <c r="X25" s="13"/>
      <c r="Y25" s="1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41"/>
      <c r="N26" s="41"/>
      <c r="O26" s="13"/>
      <c r="P26" s="41"/>
      <c r="Q26" s="42"/>
      <c r="R26" s="13"/>
      <c r="S26" s="41"/>
      <c r="T26" s="41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41"/>
      <c r="N27" s="41"/>
      <c r="O27" s="13"/>
      <c r="P27" s="41"/>
      <c r="Q27" s="42"/>
      <c r="R27" s="13"/>
      <c r="S27" s="41"/>
      <c r="T27" s="41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41"/>
      <c r="N28" s="41"/>
      <c r="O28" s="13"/>
      <c r="P28" s="41"/>
      <c r="Q28" s="42"/>
      <c r="R28" s="13"/>
      <c r="S28" s="41"/>
      <c r="T28" s="41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41"/>
      <c r="N29" s="41"/>
      <c r="O29" s="13"/>
      <c r="P29" s="41"/>
      <c r="Q29" s="42"/>
      <c r="R29" s="13"/>
      <c r="S29" s="41"/>
      <c r="T29" s="41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41"/>
      <c r="N30" s="41"/>
      <c r="O30" s="13"/>
      <c r="P30" s="41"/>
      <c r="Q30" s="42"/>
      <c r="R30" s="13"/>
      <c r="S30" s="41"/>
      <c r="T30" s="41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41"/>
      <c r="N31" s="41"/>
      <c r="O31" s="13"/>
      <c r="P31" s="41"/>
      <c r="Q31" s="42"/>
      <c r="R31" s="13"/>
      <c r="S31" s="41"/>
      <c r="T31" s="41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41"/>
      <c r="N32" s="41"/>
      <c r="O32" s="13"/>
      <c r="P32" s="41"/>
      <c r="Q32" s="42"/>
      <c r="R32" s="13"/>
      <c r="S32" s="41"/>
      <c r="T32" s="41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41"/>
      <c r="N33" s="41"/>
      <c r="O33" s="13"/>
      <c r="P33" s="41"/>
      <c r="Q33" s="42"/>
      <c r="R33" s="13"/>
      <c r="S33" s="41"/>
      <c r="T33" s="41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41"/>
      <c r="N34" s="41"/>
      <c r="O34" s="13"/>
      <c r="P34" s="41"/>
      <c r="Q34" s="42"/>
      <c r="R34" s="13"/>
      <c r="S34" s="41"/>
      <c r="T34" s="41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41"/>
      <c r="N35" s="41"/>
      <c r="O35" s="13"/>
      <c r="P35" s="41"/>
      <c r="Q35" s="42"/>
      <c r="R35" s="13"/>
      <c r="S35" s="41"/>
      <c r="T35" s="41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41"/>
      <c r="N36" s="41"/>
      <c r="O36" s="13"/>
      <c r="P36" s="41"/>
      <c r="Q36" s="42"/>
      <c r="R36" s="13"/>
      <c r="S36" s="41"/>
      <c r="T36" s="41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41"/>
      <c r="N37" s="41"/>
      <c r="O37" s="13"/>
      <c r="P37" s="41"/>
      <c r="Q37" s="42"/>
      <c r="R37" s="13"/>
      <c r="S37" s="41"/>
      <c r="T37" s="41"/>
      <c r="U37" s="13"/>
      <c r="V37" s="13"/>
      <c r="W37" s="13"/>
      <c r="X37" s="13"/>
      <c r="Y37" s="1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41"/>
      <c r="N38" s="41"/>
      <c r="O38" s="13"/>
      <c r="P38" s="41"/>
      <c r="Q38" s="42"/>
      <c r="R38" s="13"/>
      <c r="S38" s="41"/>
      <c r="T38" s="41"/>
      <c r="U38" s="13"/>
      <c r="V38" s="13"/>
      <c r="W38" s="13"/>
      <c r="X38" s="13"/>
      <c r="Y38" s="1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41"/>
      <c r="N39" s="41"/>
      <c r="O39" s="13"/>
      <c r="P39" s="41"/>
      <c r="Q39" s="42"/>
      <c r="R39" s="13"/>
      <c r="S39" s="41"/>
      <c r="T39" s="41"/>
      <c r="U39" s="13"/>
      <c r="V39" s="13"/>
      <c r="W39" s="13"/>
      <c r="X39" s="13"/>
      <c r="Y39" s="1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41"/>
      <c r="N40" s="41"/>
      <c r="O40" s="13"/>
      <c r="P40" s="41"/>
      <c r="Q40" s="42"/>
      <c r="R40" s="13"/>
      <c r="S40" s="41"/>
      <c r="T40" s="41"/>
      <c r="U40" s="13"/>
      <c r="V40" s="13"/>
      <c r="W40" s="13"/>
      <c r="X40" s="13"/>
      <c r="Y40" s="1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41"/>
      <c r="N41" s="41"/>
      <c r="O41" s="13"/>
      <c r="P41" s="41"/>
      <c r="Q41" s="42"/>
      <c r="R41" s="13"/>
      <c r="S41" s="41"/>
      <c r="T41" s="41"/>
      <c r="U41" s="13"/>
      <c r="V41" s="13"/>
      <c r="W41" s="13"/>
      <c r="X41" s="13"/>
      <c r="Y41" s="1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41"/>
      <c r="N42" s="41"/>
      <c r="O42" s="13"/>
      <c r="P42" s="41"/>
      <c r="Q42" s="42"/>
      <c r="R42" s="13"/>
      <c r="S42" s="41"/>
      <c r="T42" s="41"/>
      <c r="U42" s="13"/>
      <c r="V42" s="13"/>
      <c r="W42" s="13"/>
      <c r="X42" s="13"/>
      <c r="Y42" s="1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41"/>
      <c r="N43" s="41"/>
      <c r="O43" s="13"/>
      <c r="P43" s="41"/>
      <c r="Q43" s="42"/>
      <c r="R43" s="13"/>
      <c r="S43" s="41"/>
      <c r="T43" s="41"/>
      <c r="U43" s="13"/>
      <c r="V43" s="13"/>
      <c r="W43" s="13"/>
      <c r="X43" s="13"/>
      <c r="Y43" s="1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41"/>
      <c r="N44" s="41"/>
      <c r="O44" s="13"/>
      <c r="P44" s="41"/>
      <c r="Q44" s="42"/>
      <c r="R44" s="13"/>
      <c r="S44" s="41"/>
      <c r="T44" s="41"/>
      <c r="U44" s="13"/>
      <c r="V44" s="13"/>
      <c r="W44" s="13"/>
      <c r="X44" s="13"/>
      <c r="Y44" s="1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41"/>
      <c r="N45" s="41"/>
      <c r="O45" s="13"/>
      <c r="P45" s="41"/>
      <c r="Q45" s="42"/>
      <c r="R45" s="13"/>
      <c r="S45" s="41"/>
      <c r="T45" s="41"/>
      <c r="U45" s="13"/>
      <c r="V45" s="13"/>
      <c r="W45" s="13"/>
      <c r="X45" s="13"/>
      <c r="Y45" s="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41"/>
      <c r="N46" s="41"/>
      <c r="O46" s="13"/>
      <c r="P46" s="41"/>
      <c r="Q46" s="42"/>
      <c r="R46" s="13"/>
      <c r="S46" s="41"/>
      <c r="T46" s="41"/>
      <c r="U46" s="13"/>
      <c r="V46" s="13"/>
      <c r="W46" s="13"/>
      <c r="X46" s="13"/>
      <c r="Y46" s="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41"/>
      <c r="N47" s="41"/>
      <c r="O47" s="13"/>
      <c r="P47" s="41"/>
      <c r="Q47" s="42"/>
      <c r="R47" s="13"/>
      <c r="S47" s="41"/>
      <c r="T47" s="41"/>
      <c r="U47" s="13"/>
      <c r="V47" s="13"/>
      <c r="W47" s="13"/>
      <c r="X47" s="13"/>
      <c r="Y47" s="1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41"/>
      <c r="N48" s="41"/>
      <c r="O48" s="13"/>
      <c r="P48" s="41"/>
      <c r="Q48" s="42"/>
      <c r="R48" s="13"/>
      <c r="S48" s="41"/>
      <c r="T48" s="41"/>
      <c r="U48" s="13"/>
      <c r="V48" s="13"/>
      <c r="W48" s="13"/>
      <c r="X48" s="13"/>
      <c r="Y48" s="1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41"/>
      <c r="N49" s="41"/>
      <c r="O49" s="13"/>
      <c r="P49" s="41"/>
      <c r="Q49" s="42"/>
      <c r="R49" s="13"/>
      <c r="S49" s="41"/>
      <c r="T49" s="41"/>
      <c r="U49" s="13"/>
      <c r="V49" s="13"/>
      <c r="W49" s="13"/>
      <c r="X49" s="13"/>
      <c r="Y49" s="1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41"/>
      <c r="N50" s="41"/>
      <c r="O50" s="13"/>
      <c r="P50" s="41"/>
      <c r="Q50" s="42"/>
      <c r="R50" s="13"/>
      <c r="S50" s="41"/>
      <c r="T50" s="41"/>
      <c r="U50" s="13"/>
      <c r="V50" s="13"/>
      <c r="W50" s="13"/>
      <c r="X50" s="13"/>
      <c r="Y50" s="1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41"/>
      <c r="N51" s="41"/>
      <c r="O51" s="13"/>
      <c r="P51" s="41"/>
      <c r="Q51" s="42"/>
      <c r="R51" s="13"/>
      <c r="S51" s="41"/>
      <c r="T51" s="41"/>
      <c r="U51" s="13"/>
      <c r="V51" s="13"/>
      <c r="W51" s="13"/>
      <c r="X51" s="13"/>
      <c r="Y51" s="1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41"/>
      <c r="N52" s="41"/>
      <c r="O52" s="13"/>
      <c r="P52" s="41"/>
      <c r="Q52" s="42"/>
      <c r="R52" s="13"/>
      <c r="S52" s="41"/>
      <c r="T52" s="41"/>
      <c r="U52" s="13"/>
      <c r="V52" s="13"/>
      <c r="W52" s="13"/>
      <c r="X52" s="13"/>
      <c r="Y52" s="1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41"/>
      <c r="N53" s="41"/>
      <c r="O53" s="13"/>
      <c r="P53" s="41"/>
      <c r="Q53" s="42"/>
      <c r="R53" s="13"/>
      <c r="S53" s="41"/>
      <c r="T53" s="41"/>
      <c r="U53" s="13"/>
      <c r="V53" s="13"/>
      <c r="W53" s="13"/>
      <c r="X53" s="13"/>
      <c r="Y53" s="1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41"/>
      <c r="N54" s="41"/>
      <c r="O54" s="13"/>
      <c r="P54" s="41"/>
      <c r="Q54" s="42"/>
      <c r="R54" s="13"/>
      <c r="S54" s="41"/>
      <c r="T54" s="41"/>
      <c r="U54" s="13"/>
      <c r="V54" s="13"/>
      <c r="W54" s="13"/>
      <c r="X54" s="13"/>
      <c r="Y54" s="1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41"/>
      <c r="N55" s="41"/>
      <c r="O55" s="13"/>
      <c r="P55" s="41"/>
      <c r="Q55" s="42"/>
      <c r="R55" s="13"/>
      <c r="S55" s="41"/>
      <c r="T55" s="41"/>
      <c r="U55" s="13"/>
      <c r="V55" s="13"/>
      <c r="W55" s="13"/>
      <c r="X55" s="13"/>
      <c r="Y55" s="1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41"/>
      <c r="N56" s="41"/>
      <c r="O56" s="13"/>
      <c r="P56" s="41"/>
      <c r="Q56" s="42"/>
      <c r="R56" s="13"/>
      <c r="S56" s="41"/>
      <c r="T56" s="41"/>
      <c r="U56" s="13"/>
      <c r="V56" s="13"/>
      <c r="W56" s="13"/>
      <c r="X56" s="13"/>
      <c r="Y56" s="1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41"/>
      <c r="N57" s="41"/>
      <c r="O57" s="13"/>
      <c r="P57" s="41"/>
      <c r="Q57" s="42"/>
      <c r="R57" s="13"/>
      <c r="S57" s="41"/>
      <c r="T57" s="41"/>
      <c r="U57" s="13"/>
      <c r="V57" s="13"/>
      <c r="W57" s="13"/>
      <c r="X57" s="13"/>
      <c r="Y57" s="1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41"/>
      <c r="N58" s="41"/>
      <c r="O58" s="13"/>
      <c r="P58" s="41"/>
      <c r="Q58" s="42"/>
      <c r="R58" s="13"/>
      <c r="S58" s="41"/>
      <c r="T58" s="41"/>
      <c r="U58" s="13"/>
      <c r="V58" s="13"/>
      <c r="W58" s="13"/>
      <c r="X58" s="13"/>
      <c r="Y58" s="1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41"/>
      <c r="N59" s="41"/>
      <c r="O59" s="13"/>
      <c r="P59" s="41"/>
      <c r="Q59" s="42"/>
      <c r="R59" s="13"/>
      <c r="S59" s="41"/>
      <c r="T59" s="41"/>
      <c r="U59" s="13"/>
      <c r="V59" s="13"/>
      <c r="W59" s="13"/>
      <c r="X59" s="13"/>
      <c r="Y59" s="1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41"/>
      <c r="N60" s="41"/>
      <c r="O60" s="13"/>
      <c r="P60" s="41"/>
      <c r="Q60" s="42"/>
      <c r="R60" s="13"/>
      <c r="S60" s="41"/>
      <c r="T60" s="41"/>
      <c r="U60" s="13"/>
      <c r="V60" s="13"/>
      <c r="W60" s="13"/>
      <c r="X60" s="13"/>
      <c r="Y60" s="1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41"/>
      <c r="N61" s="41"/>
      <c r="O61" s="13"/>
      <c r="P61" s="41"/>
      <c r="Q61" s="42"/>
      <c r="R61" s="13"/>
      <c r="S61" s="41"/>
      <c r="T61" s="41"/>
      <c r="U61" s="13"/>
      <c r="V61" s="13"/>
      <c r="W61" s="13"/>
      <c r="X61" s="13"/>
      <c r="Y61" s="1"/>
      <c r="Z61" s="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41"/>
      <c r="N62" s="41"/>
      <c r="O62" s="13"/>
      <c r="P62" s="41"/>
      <c r="Q62" s="42"/>
      <c r="R62" s="13"/>
      <c r="S62" s="41"/>
      <c r="T62" s="41"/>
      <c r="U62" s="13"/>
      <c r="V62" s="13"/>
      <c r="W62" s="13"/>
      <c r="X62" s="13"/>
      <c r="Y62" s="1"/>
      <c r="Z62" s="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41"/>
      <c r="N63" s="41"/>
      <c r="O63" s="13"/>
      <c r="P63" s="41"/>
      <c r="Q63" s="42"/>
      <c r="R63" s="13"/>
      <c r="S63" s="41"/>
      <c r="T63" s="41"/>
      <c r="U63" s="13"/>
      <c r="V63" s="13"/>
      <c r="W63" s="13"/>
      <c r="X63" s="13"/>
      <c r="Y63" s="1"/>
      <c r="Z63" s="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41"/>
      <c r="N64" s="41"/>
      <c r="O64" s="13"/>
      <c r="P64" s="41"/>
      <c r="Q64" s="42"/>
      <c r="R64" s="13"/>
      <c r="S64" s="41"/>
      <c r="T64" s="41"/>
      <c r="U64" s="13"/>
      <c r="V64" s="13"/>
      <c r="W64" s="13"/>
      <c r="X64" s="13"/>
      <c r="Y64" s="1"/>
      <c r="Z64" s="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41"/>
      <c r="N65" s="41"/>
      <c r="O65" s="13"/>
      <c r="P65" s="41"/>
      <c r="Q65" s="42"/>
      <c r="R65" s="13"/>
      <c r="S65" s="41"/>
      <c r="T65" s="41"/>
      <c r="U65" s="13"/>
      <c r="V65" s="13"/>
      <c r="W65" s="13"/>
      <c r="X65" s="13"/>
      <c r="Y65" s="1"/>
      <c r="Z65" s="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41"/>
      <c r="N66" s="41"/>
      <c r="O66" s="13"/>
      <c r="P66" s="41"/>
      <c r="Q66" s="42"/>
      <c r="R66" s="13"/>
      <c r="S66" s="41"/>
      <c r="T66" s="41"/>
      <c r="U66" s="13"/>
      <c r="V66" s="13"/>
      <c r="W66" s="13"/>
      <c r="X66" s="13"/>
      <c r="Y66" s="1"/>
      <c r="Z66" s="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41"/>
      <c r="N67" s="41"/>
      <c r="O67" s="13"/>
      <c r="P67" s="41"/>
      <c r="Q67" s="42"/>
      <c r="R67" s="13"/>
      <c r="S67" s="41"/>
      <c r="T67" s="41"/>
      <c r="U67" s="13"/>
      <c r="V67" s="13"/>
      <c r="W67" s="13"/>
      <c r="X67" s="13"/>
      <c r="Y67" s="1"/>
      <c r="Z67" s="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41"/>
      <c r="N68" s="41"/>
      <c r="O68" s="13"/>
      <c r="P68" s="41"/>
      <c r="Q68" s="42"/>
      <c r="R68" s="13"/>
      <c r="S68" s="41"/>
      <c r="T68" s="41"/>
      <c r="U68" s="13"/>
      <c r="V68" s="13"/>
      <c r="W68" s="13"/>
      <c r="X68" s="13"/>
      <c r="Y68" s="1"/>
      <c r="Z68" s="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41"/>
      <c r="N69" s="41"/>
      <c r="O69" s="13"/>
      <c r="P69" s="41"/>
      <c r="Q69" s="42"/>
      <c r="R69" s="13"/>
      <c r="S69" s="41"/>
      <c r="T69" s="41"/>
      <c r="U69" s="13"/>
      <c r="V69" s="13"/>
      <c r="W69" s="13"/>
      <c r="X69" s="13"/>
      <c r="Y69" s="1"/>
      <c r="Z69" s="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41"/>
      <c r="N70" s="41"/>
      <c r="O70" s="13"/>
      <c r="P70" s="41"/>
      <c r="Q70" s="42"/>
      <c r="R70" s="13"/>
      <c r="S70" s="41"/>
      <c r="T70" s="41"/>
      <c r="U70" s="13"/>
      <c r="V70" s="13"/>
      <c r="W70" s="13"/>
      <c r="X70" s="13"/>
      <c r="Y70" s="1"/>
      <c r="Z70" s="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41"/>
      <c r="N71" s="41"/>
      <c r="O71" s="13"/>
      <c r="P71" s="41"/>
      <c r="Q71" s="42"/>
      <c r="R71" s="13"/>
      <c r="S71" s="41"/>
      <c r="T71" s="41"/>
      <c r="U71" s="13"/>
      <c r="V71" s="13"/>
      <c r="W71" s="13"/>
      <c r="X71" s="13"/>
      <c r="Y71" s="1"/>
      <c r="Z71" s="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41"/>
      <c r="N72" s="41"/>
      <c r="O72" s="13"/>
      <c r="P72" s="41"/>
      <c r="Q72" s="42"/>
      <c r="R72" s="13"/>
      <c r="S72" s="41"/>
      <c r="T72" s="41"/>
      <c r="U72" s="13"/>
      <c r="V72" s="13"/>
      <c r="W72" s="13"/>
      <c r="X72" s="13"/>
      <c r="Y72" s="1"/>
      <c r="Z72" s="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41"/>
      <c r="N73" s="41"/>
      <c r="O73" s="13"/>
      <c r="P73" s="41"/>
      <c r="Q73" s="42"/>
      <c r="R73" s="13"/>
      <c r="S73" s="41"/>
      <c r="T73" s="41"/>
      <c r="U73" s="13"/>
      <c r="V73" s="13"/>
      <c r="W73" s="13"/>
      <c r="X73" s="13"/>
      <c r="Y73" s="1"/>
      <c r="Z73" s="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41"/>
      <c r="N74" s="41"/>
      <c r="O74" s="13"/>
      <c r="P74" s="41"/>
      <c r="Q74" s="42"/>
      <c r="R74" s="13"/>
      <c r="S74" s="41"/>
      <c r="T74" s="41"/>
      <c r="U74" s="13"/>
      <c r="V74" s="13"/>
      <c r="W74" s="13"/>
      <c r="X74" s="13"/>
      <c r="Y74" s="1"/>
      <c r="Z74" s="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41"/>
      <c r="N75" s="41"/>
      <c r="O75" s="13"/>
      <c r="P75" s="41"/>
      <c r="Q75" s="42"/>
      <c r="R75" s="13"/>
      <c r="S75" s="41"/>
      <c r="T75" s="41"/>
      <c r="U75" s="13"/>
      <c r="V75" s="13"/>
      <c r="W75" s="13"/>
      <c r="X75" s="13"/>
      <c r="Y75" s="1"/>
      <c r="Z75" s="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41"/>
      <c r="N76" s="41"/>
      <c r="O76" s="13"/>
      <c r="P76" s="41"/>
      <c r="Q76" s="42"/>
      <c r="R76" s="13"/>
      <c r="S76" s="41"/>
      <c r="T76" s="41"/>
      <c r="U76" s="13"/>
      <c r="V76" s="13"/>
      <c r="W76" s="13"/>
      <c r="X76" s="13"/>
      <c r="Y76" s="1"/>
      <c r="Z76" s="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41"/>
      <c r="N77" s="41"/>
      <c r="O77" s="13"/>
      <c r="P77" s="41"/>
      <c r="Q77" s="42"/>
      <c r="R77" s="13"/>
      <c r="S77" s="41"/>
      <c r="T77" s="41"/>
      <c r="U77" s="13"/>
      <c r="V77" s="13"/>
      <c r="W77" s="13"/>
      <c r="X77" s="13"/>
      <c r="Y77" s="1"/>
      <c r="Z77" s="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41"/>
      <c r="N78" s="41"/>
      <c r="O78" s="13"/>
      <c r="P78" s="41"/>
      <c r="Q78" s="42"/>
      <c r="R78" s="13"/>
      <c r="S78" s="41"/>
      <c r="T78" s="41"/>
      <c r="U78" s="13"/>
      <c r="V78" s="13"/>
      <c r="W78" s="13"/>
      <c r="X78" s="13"/>
      <c r="Y78" s="1"/>
      <c r="Z78" s="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41"/>
      <c r="N79" s="41"/>
      <c r="O79" s="13"/>
      <c r="P79" s="41"/>
      <c r="Q79" s="42"/>
      <c r="R79" s="13"/>
      <c r="S79" s="41"/>
      <c r="T79" s="41"/>
      <c r="U79" s="13"/>
      <c r="V79" s="13"/>
      <c r="W79" s="13"/>
      <c r="X79" s="13"/>
      <c r="Y79" s="1"/>
      <c r="Z79" s="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41"/>
      <c r="N80" s="41"/>
      <c r="O80" s="13"/>
      <c r="P80" s="41"/>
      <c r="Q80" s="42"/>
      <c r="R80" s="13"/>
      <c r="S80" s="41"/>
      <c r="T80" s="41"/>
      <c r="U80" s="13"/>
      <c r="V80" s="13"/>
      <c r="W80" s="13"/>
      <c r="X80" s="13"/>
      <c r="Y80" s="1"/>
      <c r="Z80" s="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41"/>
      <c r="N81" s="41"/>
      <c r="O81" s="13"/>
      <c r="P81" s="41"/>
      <c r="Q81" s="42"/>
      <c r="R81" s="13"/>
      <c r="S81" s="41"/>
      <c r="T81" s="41"/>
      <c r="U81" s="13"/>
      <c r="V81" s="13"/>
      <c r="W81" s="13"/>
      <c r="X81" s="13"/>
      <c r="Y81" s="1"/>
      <c r="Z81" s="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41"/>
      <c r="N82" s="41"/>
      <c r="O82" s="13"/>
      <c r="P82" s="41"/>
      <c r="Q82" s="42"/>
      <c r="R82" s="13"/>
      <c r="S82" s="41"/>
      <c r="T82" s="41"/>
      <c r="U82" s="13"/>
      <c r="V82" s="13"/>
      <c r="W82" s="13"/>
      <c r="X82" s="13"/>
      <c r="Y82" s="1"/>
      <c r="Z82" s="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41"/>
      <c r="N83" s="41"/>
      <c r="O83" s="13"/>
      <c r="P83" s="41"/>
      <c r="Q83" s="42"/>
      <c r="R83" s="13"/>
      <c r="S83" s="41"/>
      <c r="T83" s="41"/>
      <c r="U83" s="13"/>
      <c r="V83" s="13"/>
      <c r="W83" s="13"/>
      <c r="X83" s="13"/>
      <c r="Y83" s="1"/>
      <c r="Z83" s="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41"/>
      <c r="N84" s="41"/>
      <c r="O84" s="13"/>
      <c r="P84" s="41"/>
      <c r="Q84" s="42"/>
      <c r="R84" s="13"/>
      <c r="S84" s="41"/>
      <c r="T84" s="41"/>
      <c r="U84" s="13"/>
      <c r="V84" s="13"/>
      <c r="W84" s="13"/>
      <c r="X84" s="13"/>
      <c r="Y84" s="1"/>
      <c r="Z84" s="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41"/>
      <c r="N85" s="41"/>
      <c r="O85" s="13"/>
      <c r="P85" s="41"/>
      <c r="Q85" s="42"/>
      <c r="R85" s="13"/>
      <c r="S85" s="41"/>
      <c r="T85" s="41"/>
      <c r="U85" s="13"/>
      <c r="V85" s="13"/>
      <c r="W85" s="13"/>
      <c r="X85" s="13"/>
      <c r="Y85" s="1"/>
      <c r="Z85" s="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41"/>
      <c r="N86" s="41"/>
      <c r="O86" s="13"/>
      <c r="P86" s="41"/>
      <c r="Q86" s="42"/>
      <c r="R86" s="13"/>
      <c r="S86" s="41"/>
      <c r="T86" s="41"/>
      <c r="U86" s="13"/>
      <c r="V86" s="13"/>
      <c r="W86" s="13"/>
      <c r="X86" s="13"/>
      <c r="Y86" s="1"/>
      <c r="Z86" s="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41"/>
      <c r="N87" s="41"/>
      <c r="O87" s="13"/>
      <c r="P87" s="41"/>
      <c r="Q87" s="42"/>
      <c r="R87" s="13"/>
      <c r="S87" s="41"/>
      <c r="T87" s="41"/>
      <c r="U87" s="13"/>
      <c r="V87" s="13"/>
      <c r="W87" s="13"/>
      <c r="X87" s="13"/>
      <c r="Y87" s="1"/>
      <c r="Z87" s="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41"/>
      <c r="N88" s="41"/>
      <c r="O88" s="13"/>
      <c r="P88" s="41"/>
      <c r="Q88" s="42"/>
      <c r="R88" s="13"/>
      <c r="S88" s="41"/>
      <c r="T88" s="41"/>
      <c r="U88" s="13"/>
      <c r="V88" s="13"/>
      <c r="W88" s="13"/>
      <c r="X88" s="13"/>
      <c r="Y88" s="1"/>
      <c r="Z88" s="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41"/>
      <c r="N89" s="41"/>
      <c r="O89" s="13"/>
      <c r="P89" s="41"/>
      <c r="Q89" s="42"/>
      <c r="R89" s="13"/>
      <c r="S89" s="41"/>
      <c r="T89" s="41"/>
      <c r="U89" s="13"/>
      <c r="V89" s="13"/>
      <c r="W89" s="13"/>
      <c r="X89" s="13"/>
      <c r="Y89" s="1"/>
      <c r="Z89" s="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41"/>
      <c r="N90" s="41"/>
      <c r="O90" s="13"/>
      <c r="P90" s="41"/>
      <c r="Q90" s="42"/>
      <c r="R90" s="13"/>
      <c r="S90" s="41"/>
      <c r="T90" s="41"/>
      <c r="U90" s="13"/>
      <c r="V90" s="13"/>
      <c r="W90" s="13"/>
      <c r="X90" s="13"/>
      <c r="Y90" s="1"/>
      <c r="Z90" s="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41"/>
      <c r="N91" s="41"/>
      <c r="O91" s="13"/>
      <c r="P91" s="41"/>
      <c r="Q91" s="42"/>
      <c r="R91" s="13"/>
      <c r="S91" s="41"/>
      <c r="T91" s="41"/>
      <c r="U91" s="13"/>
      <c r="V91" s="13"/>
      <c r="W91" s="13"/>
      <c r="X91" s="13"/>
      <c r="Y91" s="1"/>
      <c r="Z91" s="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41"/>
      <c r="N92" s="41"/>
      <c r="O92" s="13"/>
      <c r="P92" s="41"/>
      <c r="Q92" s="42"/>
      <c r="R92" s="13"/>
      <c r="S92" s="41"/>
      <c r="T92" s="41"/>
      <c r="U92" s="13"/>
      <c r="V92" s="13"/>
      <c r="W92" s="13"/>
      <c r="X92" s="13"/>
      <c r="Y92" s="1"/>
      <c r="Z92" s="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41"/>
      <c r="N93" s="41"/>
      <c r="O93" s="13"/>
      <c r="P93" s="41"/>
      <c r="Q93" s="42"/>
      <c r="R93" s="13"/>
      <c r="S93" s="41"/>
      <c r="T93" s="41"/>
      <c r="U93" s="13"/>
      <c r="V93" s="13"/>
      <c r="W93" s="13"/>
      <c r="X93" s="13"/>
      <c r="Y93" s="1"/>
      <c r="Z93" s="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41"/>
      <c r="N94" s="41"/>
      <c r="O94" s="13"/>
      <c r="P94" s="41"/>
      <c r="Q94" s="42"/>
      <c r="R94" s="13"/>
      <c r="S94" s="41"/>
      <c r="T94" s="41"/>
      <c r="U94" s="13"/>
      <c r="V94" s="13"/>
      <c r="W94" s="13"/>
      <c r="X94" s="13"/>
      <c r="Y94" s="1"/>
      <c r="Z94" s="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41"/>
      <c r="N95" s="41"/>
      <c r="O95" s="13"/>
      <c r="P95" s="41"/>
      <c r="Q95" s="42"/>
      <c r="R95" s="13"/>
      <c r="S95" s="41"/>
      <c r="T95" s="41"/>
      <c r="U95" s="13"/>
      <c r="V95" s="13"/>
      <c r="W95" s="13"/>
      <c r="X95" s="13"/>
      <c r="Y95" s="1"/>
      <c r="Z95" s="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41"/>
      <c r="N96" s="41"/>
      <c r="O96" s="13"/>
      <c r="P96" s="41"/>
      <c r="Q96" s="42"/>
      <c r="R96" s="13"/>
      <c r="S96" s="41"/>
      <c r="T96" s="41"/>
      <c r="U96" s="13"/>
      <c r="V96" s="13"/>
      <c r="W96" s="13"/>
      <c r="X96" s="13"/>
      <c r="Y96" s="1"/>
      <c r="Z96" s="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41"/>
      <c r="N97" s="41"/>
      <c r="O97" s="13"/>
      <c r="P97" s="41"/>
      <c r="Q97" s="42"/>
      <c r="R97" s="13"/>
      <c r="S97" s="41"/>
      <c r="T97" s="41"/>
      <c r="U97" s="13"/>
      <c r="V97" s="13"/>
      <c r="W97" s="13"/>
      <c r="X97" s="13"/>
      <c r="Y97" s="1"/>
      <c r="Z97" s="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41"/>
      <c r="N98" s="41"/>
      <c r="O98" s="13"/>
      <c r="P98" s="41"/>
      <c r="Q98" s="42"/>
      <c r="R98" s="13"/>
      <c r="S98" s="41"/>
      <c r="T98" s="41"/>
      <c r="U98" s="13"/>
      <c r="V98" s="13"/>
      <c r="W98" s="13"/>
      <c r="X98" s="13"/>
      <c r="Y98" s="1"/>
      <c r="Z98" s="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41"/>
      <c r="N99" s="41"/>
      <c r="O99" s="13"/>
      <c r="P99" s="41"/>
      <c r="Q99" s="42"/>
      <c r="R99" s="13"/>
      <c r="S99" s="41"/>
      <c r="T99" s="41"/>
      <c r="U99" s="13"/>
      <c r="V99" s="13"/>
      <c r="W99" s="13"/>
      <c r="X99" s="13"/>
      <c r="Y99" s="1"/>
      <c r="Z99" s="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41"/>
      <c r="N100" s="41"/>
      <c r="O100" s="13"/>
      <c r="P100" s="41"/>
      <c r="Q100" s="42"/>
      <c r="R100" s="13"/>
      <c r="S100" s="41"/>
      <c r="T100" s="41"/>
      <c r="U100" s="13"/>
      <c r="V100" s="13"/>
      <c r="W100" s="13"/>
      <c r="X100" s="13"/>
      <c r="Y100" s="1"/>
      <c r="Z100" s="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41"/>
      <c r="N101" s="41"/>
      <c r="O101" s="13"/>
      <c r="P101" s="41"/>
      <c r="Q101" s="42"/>
      <c r="R101" s="13"/>
      <c r="S101" s="41"/>
      <c r="T101" s="41"/>
      <c r="U101" s="13"/>
      <c r="V101" s="13"/>
      <c r="W101" s="13"/>
      <c r="X101" s="13"/>
      <c r="Y101" s="1"/>
      <c r="Z101" s="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41"/>
      <c r="N102" s="41"/>
      <c r="O102" s="13"/>
      <c r="P102" s="41"/>
      <c r="Q102" s="42"/>
      <c r="R102" s="13"/>
      <c r="S102" s="41"/>
      <c r="T102" s="41"/>
      <c r="U102" s="13"/>
      <c r="V102" s="13"/>
      <c r="W102" s="13"/>
      <c r="X102" s="13"/>
      <c r="Y102" s="1"/>
      <c r="Z102" s="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41"/>
      <c r="N103" s="41"/>
      <c r="O103" s="13"/>
      <c r="P103" s="41"/>
      <c r="Q103" s="42"/>
      <c r="R103" s="13"/>
      <c r="S103" s="41"/>
      <c r="T103" s="41"/>
      <c r="U103" s="13"/>
      <c r="V103" s="13"/>
      <c r="W103" s="13"/>
      <c r="X103" s="13"/>
      <c r="Y103" s="1"/>
      <c r="Z103" s="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41"/>
      <c r="N104" s="41"/>
      <c r="O104" s="13"/>
      <c r="P104" s="41"/>
      <c r="Q104" s="42"/>
      <c r="R104" s="13"/>
      <c r="S104" s="41"/>
      <c r="T104" s="41"/>
      <c r="U104" s="13"/>
      <c r="V104" s="13"/>
      <c r="W104" s="13"/>
      <c r="X104" s="13"/>
      <c r="Y104" s="1"/>
      <c r="Z104" s="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41"/>
      <c r="N105" s="41"/>
      <c r="O105" s="13"/>
      <c r="P105" s="41"/>
      <c r="Q105" s="42"/>
      <c r="R105" s="13"/>
      <c r="S105" s="41"/>
      <c r="T105" s="41"/>
      <c r="U105" s="13"/>
      <c r="V105" s="13"/>
      <c r="W105" s="13"/>
      <c r="X105" s="13"/>
      <c r="Y105" s="1"/>
      <c r="Z105" s="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41"/>
      <c r="N106" s="41"/>
      <c r="O106" s="13"/>
      <c r="P106" s="41"/>
      <c r="Q106" s="42"/>
      <c r="R106" s="13"/>
      <c r="S106" s="41"/>
      <c r="T106" s="41"/>
      <c r="U106" s="13"/>
      <c r="V106" s="13"/>
      <c r="W106" s="13"/>
      <c r="X106" s="13"/>
      <c r="Y106" s="1"/>
      <c r="Z106" s="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41"/>
      <c r="N107" s="41"/>
      <c r="O107" s="13"/>
      <c r="P107" s="41"/>
      <c r="Q107" s="42"/>
      <c r="R107" s="13"/>
      <c r="S107" s="41"/>
      <c r="T107" s="41"/>
      <c r="U107" s="13"/>
      <c r="V107" s="13"/>
      <c r="W107" s="13"/>
      <c r="X107" s="13"/>
      <c r="Y107" s="1"/>
      <c r="Z107" s="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41"/>
      <c r="N108" s="41"/>
      <c r="O108" s="13"/>
      <c r="P108" s="41"/>
      <c r="Q108" s="42"/>
      <c r="R108" s="13"/>
      <c r="S108" s="41"/>
      <c r="T108" s="41"/>
      <c r="U108" s="13"/>
      <c r="V108" s="13"/>
      <c r="W108" s="13"/>
      <c r="X108" s="13"/>
      <c r="Y108" s="1"/>
      <c r="Z108" s="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41"/>
      <c r="N109" s="41"/>
      <c r="O109" s="13"/>
      <c r="P109" s="41"/>
      <c r="Q109" s="42"/>
      <c r="R109" s="13"/>
      <c r="S109" s="41"/>
      <c r="T109" s="41"/>
      <c r="U109" s="13"/>
      <c r="V109" s="13"/>
      <c r="W109" s="13"/>
      <c r="X109" s="13"/>
      <c r="Y109" s="1"/>
      <c r="Z109" s="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41"/>
      <c r="N110" s="41"/>
      <c r="O110" s="13"/>
      <c r="P110" s="41"/>
      <c r="Q110" s="42"/>
      <c r="R110" s="13"/>
      <c r="S110" s="41"/>
      <c r="T110" s="41"/>
      <c r="U110" s="13"/>
      <c r="V110" s="13"/>
      <c r="W110" s="13"/>
      <c r="X110" s="13"/>
      <c r="Y110" s="1"/>
      <c r="Z110" s="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41"/>
      <c r="N111" s="41"/>
      <c r="O111" s="13"/>
      <c r="P111" s="41"/>
      <c r="Q111" s="42"/>
      <c r="R111" s="13"/>
      <c r="S111" s="41"/>
      <c r="T111" s="41"/>
      <c r="U111" s="13"/>
      <c r="V111" s="13"/>
      <c r="W111" s="13"/>
      <c r="X111" s="13"/>
      <c r="Y111" s="1"/>
      <c r="Z111" s="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41"/>
      <c r="N112" s="41"/>
      <c r="O112" s="13"/>
      <c r="P112" s="41"/>
      <c r="Q112" s="42"/>
      <c r="R112" s="13"/>
      <c r="S112" s="41"/>
      <c r="T112" s="41"/>
      <c r="U112" s="13"/>
      <c r="V112" s="13"/>
      <c r="W112" s="13"/>
      <c r="X112" s="13"/>
      <c r="Y112" s="1"/>
      <c r="Z112" s="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41"/>
      <c r="N113" s="41"/>
      <c r="O113" s="13"/>
      <c r="P113" s="41"/>
      <c r="Q113" s="42"/>
      <c r="R113" s="13"/>
      <c r="S113" s="41"/>
      <c r="T113" s="41"/>
      <c r="U113" s="13"/>
      <c r="V113" s="13"/>
      <c r="W113" s="13"/>
      <c r="X113" s="13"/>
      <c r="Y113" s="1"/>
      <c r="Z113" s="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41"/>
      <c r="N114" s="41"/>
      <c r="O114" s="13"/>
      <c r="P114" s="41"/>
      <c r="Q114" s="42"/>
      <c r="R114" s="13"/>
      <c r="S114" s="41"/>
      <c r="T114" s="41"/>
      <c r="U114" s="13"/>
      <c r="V114" s="13"/>
      <c r="W114" s="13"/>
      <c r="X114" s="13"/>
      <c r="Y114" s="1"/>
      <c r="Z114" s="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41"/>
      <c r="N115" s="41"/>
      <c r="O115" s="13"/>
      <c r="P115" s="41"/>
      <c r="Q115" s="42"/>
      <c r="R115" s="13"/>
      <c r="S115" s="41"/>
      <c r="T115" s="41"/>
      <c r="U115" s="13"/>
      <c r="V115" s="13"/>
      <c r="W115" s="13"/>
      <c r="X115" s="13"/>
      <c r="Y115" s="1"/>
      <c r="Z115" s="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41"/>
      <c r="N116" s="41"/>
      <c r="O116" s="13"/>
      <c r="P116" s="41"/>
      <c r="Q116" s="42"/>
      <c r="R116" s="13"/>
      <c r="S116" s="41"/>
      <c r="T116" s="41"/>
      <c r="U116" s="13"/>
      <c r="V116" s="13"/>
      <c r="W116" s="13"/>
      <c r="X116" s="13"/>
      <c r="Y116" s="1"/>
      <c r="Z116" s="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41"/>
      <c r="N117" s="41"/>
      <c r="O117" s="13"/>
      <c r="P117" s="41"/>
      <c r="Q117" s="42"/>
      <c r="R117" s="13"/>
      <c r="S117" s="41"/>
      <c r="T117" s="41"/>
      <c r="U117" s="13"/>
      <c r="V117" s="13"/>
      <c r="W117" s="13"/>
      <c r="X117" s="13"/>
      <c r="Y117" s="1"/>
      <c r="Z117" s="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41"/>
      <c r="N118" s="41"/>
      <c r="O118" s="13"/>
      <c r="P118" s="41"/>
      <c r="Q118" s="42"/>
      <c r="R118" s="13"/>
      <c r="S118" s="41"/>
      <c r="T118" s="41"/>
      <c r="U118" s="13"/>
      <c r="V118" s="13"/>
      <c r="W118" s="13"/>
      <c r="X118" s="13"/>
      <c r="Y118" s="1"/>
      <c r="Z118" s="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41"/>
      <c r="N119" s="41"/>
      <c r="O119" s="13"/>
      <c r="P119" s="41"/>
      <c r="Q119" s="42"/>
      <c r="R119" s="13"/>
      <c r="S119" s="41"/>
      <c r="T119" s="41"/>
      <c r="U119" s="13"/>
      <c r="V119" s="13"/>
      <c r="W119" s="13"/>
      <c r="X119" s="13"/>
      <c r="Y119" s="1"/>
      <c r="Z119" s="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41"/>
      <c r="N120" s="41"/>
      <c r="O120" s="13"/>
      <c r="P120" s="41"/>
      <c r="Q120" s="42"/>
      <c r="R120" s="13"/>
      <c r="S120" s="41"/>
      <c r="T120" s="41"/>
      <c r="U120" s="13"/>
      <c r="V120" s="13"/>
      <c r="W120" s="13"/>
      <c r="X120" s="13"/>
      <c r="Y120" s="1"/>
      <c r="Z120" s="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41"/>
      <c r="N121" s="41"/>
      <c r="O121" s="13"/>
      <c r="P121" s="41"/>
      <c r="Q121" s="42"/>
      <c r="R121" s="13"/>
      <c r="S121" s="41"/>
      <c r="T121" s="41"/>
      <c r="U121" s="13"/>
      <c r="V121" s="13"/>
      <c r="W121" s="13"/>
      <c r="X121" s="13"/>
      <c r="Y121" s="1"/>
      <c r="Z121" s="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41"/>
      <c r="N122" s="41"/>
      <c r="O122" s="13"/>
      <c r="P122" s="41"/>
      <c r="Q122" s="42"/>
      <c r="R122" s="13"/>
      <c r="S122" s="41"/>
      <c r="T122" s="41"/>
      <c r="U122" s="13"/>
      <c r="V122" s="13"/>
      <c r="W122" s="13"/>
      <c r="X122" s="13"/>
      <c r="Y122" s="1"/>
      <c r="Z122" s="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41"/>
      <c r="N123" s="41"/>
      <c r="O123" s="13"/>
      <c r="P123" s="41"/>
      <c r="Q123" s="42"/>
      <c r="R123" s="13"/>
      <c r="S123" s="41"/>
      <c r="T123" s="41"/>
      <c r="U123" s="13"/>
      <c r="V123" s="13"/>
      <c r="W123" s="13"/>
      <c r="X123" s="13"/>
      <c r="Y123" s="1"/>
      <c r="Z123" s="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41"/>
      <c r="N124" s="41"/>
      <c r="O124" s="13"/>
      <c r="P124" s="41"/>
      <c r="Q124" s="42"/>
      <c r="R124" s="13"/>
      <c r="S124" s="41"/>
      <c r="T124" s="41"/>
      <c r="U124" s="13"/>
      <c r="V124" s="13"/>
      <c r="W124" s="13"/>
      <c r="X124" s="13"/>
      <c r="Y124" s="1"/>
      <c r="Z124" s="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41"/>
      <c r="N125" s="41"/>
      <c r="O125" s="13"/>
      <c r="P125" s="41"/>
      <c r="Q125" s="42"/>
      <c r="R125" s="13"/>
      <c r="S125" s="41"/>
      <c r="T125" s="41"/>
      <c r="U125" s="13"/>
      <c r="V125" s="13"/>
      <c r="W125" s="13"/>
      <c r="X125" s="13"/>
      <c r="Y125" s="1"/>
      <c r="Z125" s="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41"/>
      <c r="N126" s="41"/>
      <c r="O126" s="13"/>
      <c r="P126" s="41"/>
      <c r="Q126" s="42"/>
      <c r="R126" s="13"/>
      <c r="S126" s="41"/>
      <c r="T126" s="41"/>
      <c r="U126" s="13"/>
      <c r="V126" s="13"/>
      <c r="W126" s="13"/>
      <c r="X126" s="13"/>
      <c r="Y126" s="1"/>
      <c r="Z126" s="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41"/>
      <c r="N127" s="41"/>
      <c r="O127" s="13"/>
      <c r="P127" s="41"/>
      <c r="Q127" s="42"/>
      <c r="R127" s="13"/>
      <c r="S127" s="41"/>
      <c r="T127" s="41"/>
      <c r="U127" s="13"/>
      <c r="V127" s="13"/>
      <c r="W127" s="13"/>
      <c r="X127" s="13"/>
      <c r="Y127" s="1"/>
      <c r="Z127" s="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41"/>
      <c r="N128" s="41"/>
      <c r="O128" s="13"/>
      <c r="P128" s="41"/>
      <c r="Q128" s="42"/>
      <c r="R128" s="13"/>
      <c r="S128" s="41"/>
      <c r="T128" s="41"/>
      <c r="U128" s="13"/>
      <c r="V128" s="13"/>
      <c r="W128" s="13"/>
      <c r="X128" s="13"/>
      <c r="Y128" s="1"/>
      <c r="Z128" s="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41"/>
      <c r="N129" s="41"/>
      <c r="O129" s="13"/>
      <c r="P129" s="41"/>
      <c r="Q129" s="42"/>
      <c r="R129" s="13"/>
      <c r="S129" s="41"/>
      <c r="T129" s="41"/>
      <c r="U129" s="13"/>
      <c r="V129" s="13"/>
      <c r="W129" s="13"/>
      <c r="X129" s="13"/>
      <c r="Y129" s="1"/>
      <c r="Z129" s="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41"/>
      <c r="N130" s="41"/>
      <c r="O130" s="13"/>
      <c r="P130" s="41"/>
      <c r="Q130" s="42"/>
      <c r="R130" s="13"/>
      <c r="S130" s="41"/>
      <c r="T130" s="41"/>
      <c r="U130" s="13"/>
      <c r="V130" s="13"/>
      <c r="W130" s="13"/>
      <c r="X130" s="13"/>
      <c r="Y130" s="1"/>
      <c r="Z130" s="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41"/>
      <c r="N131" s="41"/>
      <c r="O131" s="13"/>
      <c r="P131" s="41"/>
      <c r="Q131" s="42"/>
      <c r="R131" s="13"/>
      <c r="S131" s="41"/>
      <c r="T131" s="41"/>
      <c r="U131" s="13"/>
      <c r="V131" s="13"/>
      <c r="W131" s="13"/>
      <c r="X131" s="13"/>
      <c r="Y131" s="1"/>
      <c r="Z131" s="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41"/>
      <c r="N132" s="41"/>
      <c r="O132" s="13"/>
      <c r="P132" s="41"/>
      <c r="Q132" s="42"/>
      <c r="R132" s="13"/>
      <c r="S132" s="41"/>
      <c r="T132" s="41"/>
      <c r="U132" s="13"/>
      <c r="V132" s="13"/>
      <c r="W132" s="13"/>
      <c r="X132" s="13"/>
      <c r="Y132" s="1"/>
      <c r="Z132" s="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41"/>
      <c r="N133" s="41"/>
      <c r="O133" s="13"/>
      <c r="P133" s="41"/>
      <c r="Q133" s="42"/>
      <c r="R133" s="13"/>
      <c r="S133" s="41"/>
      <c r="T133" s="41"/>
      <c r="U133" s="13"/>
      <c r="V133" s="13"/>
      <c r="W133" s="13"/>
      <c r="X133" s="13"/>
      <c r="Y133" s="1"/>
      <c r="Z133" s="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41"/>
      <c r="N134" s="41"/>
      <c r="O134" s="13"/>
      <c r="P134" s="41"/>
      <c r="Q134" s="42"/>
      <c r="R134" s="13"/>
      <c r="S134" s="41"/>
      <c r="T134" s="41"/>
      <c r="U134" s="13"/>
      <c r="V134" s="13"/>
      <c r="W134" s="13"/>
      <c r="X134" s="13"/>
      <c r="Y134" s="1"/>
      <c r="Z134" s="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41"/>
      <c r="N135" s="41"/>
      <c r="O135" s="13"/>
      <c r="P135" s="41"/>
      <c r="Q135" s="42"/>
      <c r="R135" s="13"/>
      <c r="S135" s="41"/>
      <c r="T135" s="41"/>
      <c r="U135" s="13"/>
      <c r="V135" s="13"/>
      <c r="W135" s="13"/>
      <c r="X135" s="13"/>
      <c r="Y135" s="1"/>
      <c r="Z135" s="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41"/>
      <c r="N136" s="41"/>
      <c r="O136" s="13"/>
      <c r="P136" s="41"/>
      <c r="Q136" s="42"/>
      <c r="R136" s="13"/>
      <c r="S136" s="41"/>
      <c r="T136" s="41"/>
      <c r="U136" s="13"/>
      <c r="V136" s="13"/>
      <c r="W136" s="13"/>
      <c r="X136" s="13"/>
      <c r="Y136" s="1"/>
      <c r="Z136" s="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41"/>
      <c r="N137" s="41"/>
      <c r="O137" s="13"/>
      <c r="P137" s="41"/>
      <c r="Q137" s="42"/>
      <c r="R137" s="13"/>
      <c r="S137" s="41"/>
      <c r="T137" s="41"/>
      <c r="U137" s="13"/>
      <c r="V137" s="13"/>
      <c r="W137" s="13"/>
      <c r="X137" s="13"/>
      <c r="Y137" s="1"/>
      <c r="Z137" s="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41"/>
      <c r="N138" s="41"/>
      <c r="O138" s="13"/>
      <c r="P138" s="41"/>
      <c r="Q138" s="42"/>
      <c r="R138" s="13"/>
      <c r="S138" s="41"/>
      <c r="T138" s="41"/>
      <c r="U138" s="13"/>
      <c r="V138" s="13"/>
      <c r="W138" s="13"/>
      <c r="X138" s="13"/>
      <c r="Y138" s="1"/>
      <c r="Z138" s="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41"/>
      <c r="N139" s="41"/>
      <c r="O139" s="13"/>
      <c r="P139" s="41"/>
      <c r="Q139" s="42"/>
      <c r="R139" s="13"/>
      <c r="S139" s="41"/>
      <c r="T139" s="41"/>
      <c r="U139" s="13"/>
      <c r="V139" s="13"/>
      <c r="W139" s="13"/>
      <c r="X139" s="13"/>
      <c r="Y139" s="1"/>
      <c r="Z139" s="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41"/>
      <c r="N140" s="41"/>
      <c r="O140" s="13"/>
      <c r="P140" s="41"/>
      <c r="Q140" s="42"/>
      <c r="R140" s="13"/>
      <c r="S140" s="41"/>
      <c r="T140" s="41"/>
      <c r="U140" s="13"/>
      <c r="V140" s="13"/>
      <c r="W140" s="13"/>
      <c r="X140" s="13"/>
      <c r="Y140" s="1"/>
      <c r="Z140" s="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41"/>
      <c r="N141" s="41"/>
      <c r="O141" s="13"/>
      <c r="P141" s="41"/>
      <c r="Q141" s="42"/>
      <c r="R141" s="13"/>
      <c r="S141" s="41"/>
      <c r="T141" s="41"/>
      <c r="U141" s="13"/>
      <c r="V141" s="13"/>
      <c r="W141" s="13"/>
      <c r="X141" s="13"/>
      <c r="Y141" s="1"/>
      <c r="Z141" s="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41"/>
      <c r="N142" s="41"/>
      <c r="O142" s="13"/>
      <c r="P142" s="41"/>
      <c r="Q142" s="42"/>
      <c r="R142" s="13"/>
      <c r="S142" s="41"/>
      <c r="T142" s="41"/>
      <c r="U142" s="13"/>
      <c r="V142" s="13"/>
      <c r="W142" s="13"/>
      <c r="X142" s="13"/>
      <c r="Y142" s="1"/>
      <c r="Z142" s="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41"/>
      <c r="N143" s="41"/>
      <c r="O143" s="13"/>
      <c r="P143" s="41"/>
      <c r="Q143" s="42"/>
      <c r="R143" s="13"/>
      <c r="S143" s="41"/>
      <c r="T143" s="41"/>
      <c r="U143" s="13"/>
      <c r="V143" s="13"/>
      <c r="W143" s="13"/>
      <c r="X143" s="13"/>
      <c r="Y143" s="1"/>
      <c r="Z143" s="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41"/>
      <c r="N144" s="41"/>
      <c r="O144" s="13"/>
      <c r="P144" s="41"/>
      <c r="Q144" s="42"/>
      <c r="R144" s="13"/>
      <c r="S144" s="41"/>
      <c r="T144" s="41"/>
      <c r="U144" s="13"/>
      <c r="V144" s="13"/>
      <c r="W144" s="13"/>
      <c r="X144" s="13"/>
      <c r="Y144" s="1"/>
      <c r="Z144" s="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41"/>
      <c r="N145" s="41"/>
      <c r="O145" s="13"/>
      <c r="P145" s="41"/>
      <c r="Q145" s="42"/>
      <c r="R145" s="13"/>
      <c r="S145" s="41"/>
      <c r="T145" s="41"/>
      <c r="U145" s="13"/>
      <c r="V145" s="13"/>
      <c r="W145" s="13"/>
      <c r="X145" s="13"/>
      <c r="Y145" s="1"/>
      <c r="Z145" s="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41"/>
      <c r="N146" s="41"/>
      <c r="O146" s="13"/>
      <c r="P146" s="41"/>
      <c r="Q146" s="42"/>
      <c r="R146" s="13"/>
      <c r="S146" s="41"/>
      <c r="T146" s="41"/>
      <c r="U146" s="13"/>
      <c r="V146" s="13"/>
      <c r="W146" s="13"/>
      <c r="X146" s="13"/>
      <c r="Y146" s="1"/>
      <c r="Z146" s="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41"/>
      <c r="N147" s="41"/>
      <c r="O147" s="13"/>
      <c r="P147" s="41"/>
      <c r="Q147" s="42"/>
      <c r="R147" s="13"/>
      <c r="S147" s="41"/>
      <c r="T147" s="41"/>
      <c r="U147" s="13"/>
      <c r="V147" s="13"/>
      <c r="W147" s="13"/>
      <c r="X147" s="13"/>
      <c r="Y147" s="1"/>
      <c r="Z147" s="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41"/>
      <c r="N148" s="41"/>
      <c r="O148" s="13"/>
      <c r="P148" s="41"/>
      <c r="Q148" s="42"/>
      <c r="R148" s="13"/>
      <c r="S148" s="41"/>
      <c r="T148" s="41"/>
      <c r="U148" s="13"/>
      <c r="V148" s="13"/>
      <c r="W148" s="13"/>
      <c r="X148" s="13"/>
      <c r="Y148" s="1"/>
      <c r="Z148" s="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41"/>
      <c r="N149" s="41"/>
      <c r="O149" s="13"/>
      <c r="P149" s="41"/>
      <c r="Q149" s="42"/>
      <c r="R149" s="13"/>
      <c r="S149" s="41"/>
      <c r="T149" s="41"/>
      <c r="U149" s="13"/>
      <c r="V149" s="13"/>
      <c r="W149" s="13"/>
      <c r="X149" s="13"/>
      <c r="Y149" s="1"/>
      <c r="Z149" s="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41"/>
      <c r="N150" s="41"/>
      <c r="O150" s="13"/>
      <c r="P150" s="41"/>
      <c r="Q150" s="42"/>
      <c r="R150" s="13"/>
      <c r="S150" s="41"/>
      <c r="T150" s="41"/>
      <c r="U150" s="13"/>
      <c r="V150" s="13"/>
      <c r="W150" s="13"/>
      <c r="X150" s="13"/>
      <c r="Y150" s="1"/>
      <c r="Z150" s="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41"/>
      <c r="N151" s="41"/>
      <c r="O151" s="13"/>
      <c r="P151" s="41"/>
      <c r="Q151" s="42"/>
      <c r="R151" s="13"/>
      <c r="S151" s="41"/>
      <c r="T151" s="41"/>
      <c r="U151" s="13"/>
      <c r="V151" s="13"/>
      <c r="W151" s="13"/>
      <c r="X151" s="13"/>
      <c r="Y151" s="1"/>
      <c r="Z151" s="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41"/>
      <c r="N152" s="41"/>
      <c r="O152" s="13"/>
      <c r="P152" s="41"/>
      <c r="Q152" s="42"/>
      <c r="R152" s="13"/>
      <c r="S152" s="41"/>
      <c r="T152" s="41"/>
      <c r="U152" s="13"/>
      <c r="V152" s="13"/>
      <c r="W152" s="13"/>
      <c r="X152" s="13"/>
      <c r="Y152" s="1"/>
      <c r="Z152" s="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41"/>
      <c r="N153" s="41"/>
      <c r="O153" s="13"/>
      <c r="P153" s="41"/>
      <c r="Q153" s="42"/>
      <c r="R153" s="13"/>
      <c r="S153" s="41"/>
      <c r="T153" s="41"/>
      <c r="U153" s="13"/>
      <c r="V153" s="13"/>
      <c r="W153" s="13"/>
      <c r="X153" s="13"/>
      <c r="Y153" s="1"/>
      <c r="Z153" s="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41"/>
      <c r="N154" s="41"/>
      <c r="O154" s="13"/>
      <c r="P154" s="41"/>
      <c r="Q154" s="42"/>
      <c r="R154" s="13"/>
      <c r="S154" s="41"/>
      <c r="T154" s="41"/>
      <c r="U154" s="13"/>
      <c r="V154" s="13"/>
      <c r="W154" s="13"/>
      <c r="X154" s="13"/>
      <c r="Y154" s="1"/>
      <c r="Z154" s="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41"/>
      <c r="N155" s="41"/>
      <c r="O155" s="13"/>
      <c r="P155" s="41"/>
      <c r="Q155" s="42"/>
      <c r="R155" s="13"/>
      <c r="S155" s="41"/>
      <c r="T155" s="41"/>
      <c r="U155" s="13"/>
      <c r="V155" s="13"/>
      <c r="W155" s="13"/>
      <c r="X155" s="13"/>
      <c r="Y155" s="1"/>
      <c r="Z155" s="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41"/>
      <c r="N156" s="41"/>
      <c r="O156" s="13"/>
      <c r="P156" s="41"/>
      <c r="Q156" s="42"/>
      <c r="R156" s="13"/>
      <c r="S156" s="41"/>
      <c r="T156" s="41"/>
      <c r="U156" s="13"/>
      <c r="V156" s="13"/>
      <c r="W156" s="13"/>
      <c r="X156" s="13"/>
      <c r="Y156" s="1"/>
      <c r="Z156" s="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41"/>
      <c r="N157" s="41"/>
      <c r="O157" s="13"/>
      <c r="P157" s="41"/>
      <c r="Q157" s="42"/>
      <c r="R157" s="13"/>
      <c r="S157" s="41"/>
      <c r="T157" s="41"/>
      <c r="U157" s="13"/>
      <c r="V157" s="13"/>
      <c r="W157" s="13"/>
      <c r="X157" s="13"/>
      <c r="Y157" s="1"/>
      <c r="Z157" s="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41"/>
      <c r="N158" s="41"/>
      <c r="O158" s="13"/>
      <c r="P158" s="41"/>
      <c r="Q158" s="42"/>
      <c r="R158" s="13"/>
      <c r="S158" s="41"/>
      <c r="T158" s="41"/>
      <c r="U158" s="13"/>
      <c r="V158" s="13"/>
      <c r="W158" s="13"/>
      <c r="X158" s="13"/>
      <c r="Y158" s="1"/>
      <c r="Z158" s="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41"/>
      <c r="N159" s="41"/>
      <c r="O159" s="13"/>
      <c r="P159" s="41"/>
      <c r="Q159" s="42"/>
      <c r="R159" s="13"/>
      <c r="S159" s="41"/>
      <c r="T159" s="41"/>
      <c r="U159" s="13"/>
      <c r="V159" s="13"/>
      <c r="W159" s="13"/>
      <c r="X159" s="13"/>
      <c r="Y159" s="1"/>
      <c r="Z159" s="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41"/>
      <c r="N160" s="41"/>
      <c r="O160" s="13"/>
      <c r="P160" s="41"/>
      <c r="Q160" s="42"/>
      <c r="R160" s="13"/>
      <c r="S160" s="41"/>
      <c r="T160" s="41"/>
      <c r="U160" s="13"/>
      <c r="V160" s="13"/>
      <c r="W160" s="13"/>
      <c r="X160" s="13"/>
      <c r="Y160" s="1"/>
      <c r="Z160" s="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41"/>
      <c r="N161" s="41"/>
      <c r="O161" s="13"/>
      <c r="P161" s="41"/>
      <c r="Q161" s="42"/>
      <c r="R161" s="13"/>
      <c r="S161" s="41"/>
      <c r="T161" s="41"/>
      <c r="U161" s="13"/>
      <c r="V161" s="13"/>
      <c r="W161" s="13"/>
      <c r="X161" s="13"/>
      <c r="Y161" s="1"/>
      <c r="Z161" s="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41"/>
      <c r="N162" s="41"/>
      <c r="O162" s="13"/>
      <c r="P162" s="41"/>
      <c r="Q162" s="42"/>
      <c r="R162" s="13"/>
      <c r="S162" s="41"/>
      <c r="T162" s="41"/>
      <c r="U162" s="13"/>
      <c r="V162" s="13"/>
      <c r="W162" s="13"/>
      <c r="X162" s="13"/>
      <c r="Y162" s="1"/>
      <c r="Z162" s="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41"/>
      <c r="N163" s="41"/>
      <c r="O163" s="13"/>
      <c r="P163" s="41"/>
      <c r="Q163" s="42"/>
      <c r="R163" s="13"/>
      <c r="S163" s="41"/>
      <c r="T163" s="41"/>
      <c r="U163" s="13"/>
      <c r="V163" s="13"/>
      <c r="W163" s="13"/>
      <c r="X163" s="13"/>
      <c r="Y163" s="1"/>
      <c r="Z163" s="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41"/>
      <c r="N164" s="41"/>
      <c r="O164" s="13"/>
      <c r="P164" s="41"/>
      <c r="Q164" s="42"/>
      <c r="R164" s="13"/>
      <c r="S164" s="41"/>
      <c r="T164" s="41"/>
      <c r="U164" s="13"/>
      <c r="V164" s="13"/>
      <c r="W164" s="13"/>
      <c r="X164" s="13"/>
      <c r="Y164" s="1"/>
      <c r="Z164" s="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41"/>
      <c r="N165" s="41"/>
      <c r="O165" s="13"/>
      <c r="P165" s="41"/>
      <c r="Q165" s="42"/>
      <c r="R165" s="13"/>
      <c r="S165" s="41"/>
      <c r="T165" s="41"/>
      <c r="U165" s="13"/>
      <c r="V165" s="13"/>
      <c r="W165" s="13"/>
      <c r="X165" s="13"/>
      <c r="Y165" s="1"/>
      <c r="Z165" s="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41"/>
      <c r="N166" s="41"/>
      <c r="O166" s="13"/>
      <c r="P166" s="41"/>
      <c r="Q166" s="42"/>
      <c r="R166" s="13"/>
      <c r="S166" s="41"/>
      <c r="T166" s="41"/>
      <c r="U166" s="13"/>
      <c r="V166" s="13"/>
      <c r="W166" s="13"/>
      <c r="X166" s="13"/>
      <c r="Y166" s="1"/>
      <c r="Z166" s="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41"/>
      <c r="N167" s="41"/>
      <c r="O167" s="13"/>
      <c r="P167" s="41"/>
      <c r="Q167" s="42"/>
      <c r="R167" s="13"/>
      <c r="S167" s="41"/>
      <c r="T167" s="41"/>
      <c r="U167" s="13"/>
      <c r="V167" s="13"/>
      <c r="W167" s="13"/>
      <c r="X167" s="13"/>
      <c r="Y167" s="1"/>
      <c r="Z167" s="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41"/>
      <c r="N168" s="41"/>
      <c r="O168" s="13"/>
      <c r="P168" s="41"/>
      <c r="Q168" s="42"/>
      <c r="R168" s="13"/>
      <c r="S168" s="41"/>
      <c r="T168" s="41"/>
      <c r="U168" s="13"/>
      <c r="V168" s="13"/>
      <c r="W168" s="13"/>
      <c r="X168" s="13"/>
      <c r="Y168" s="1"/>
      <c r="Z168" s="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41"/>
      <c r="N169" s="41"/>
      <c r="O169" s="13"/>
      <c r="P169" s="41"/>
      <c r="Q169" s="42"/>
      <c r="R169" s="13"/>
      <c r="S169" s="41"/>
      <c r="T169" s="41"/>
      <c r="U169" s="13"/>
      <c r="V169" s="13"/>
      <c r="W169" s="13"/>
      <c r="X169" s="13"/>
      <c r="Y169" s="1"/>
      <c r="Z169" s="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41"/>
      <c r="N170" s="41"/>
      <c r="O170" s="13"/>
      <c r="P170" s="41"/>
      <c r="Q170" s="42"/>
      <c r="R170" s="13"/>
      <c r="S170" s="41"/>
      <c r="T170" s="41"/>
      <c r="U170" s="13"/>
      <c r="V170" s="13"/>
      <c r="W170" s="13"/>
      <c r="X170" s="13"/>
      <c r="Y170" s="1"/>
      <c r="Z170" s="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41"/>
      <c r="N171" s="41"/>
      <c r="O171" s="13"/>
      <c r="P171" s="41"/>
      <c r="Q171" s="42"/>
      <c r="R171" s="13"/>
      <c r="S171" s="41"/>
      <c r="T171" s="41"/>
      <c r="U171" s="13"/>
      <c r="V171" s="13"/>
      <c r="W171" s="13"/>
      <c r="X171" s="13"/>
      <c r="Y171" s="1"/>
      <c r="Z171" s="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41"/>
      <c r="N172" s="41"/>
      <c r="O172" s="13"/>
      <c r="P172" s="41"/>
      <c r="Q172" s="42"/>
      <c r="R172" s="13"/>
      <c r="S172" s="41"/>
      <c r="T172" s="41"/>
      <c r="U172" s="13"/>
      <c r="V172" s="13"/>
      <c r="W172" s="13"/>
      <c r="X172" s="13"/>
      <c r="Y172" s="1"/>
      <c r="Z172" s="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41"/>
      <c r="N173" s="41"/>
      <c r="O173" s="13"/>
      <c r="P173" s="41"/>
      <c r="Q173" s="42"/>
      <c r="R173" s="13"/>
      <c r="S173" s="41"/>
      <c r="T173" s="41"/>
      <c r="U173" s="13"/>
      <c r="V173" s="13"/>
      <c r="W173" s="13"/>
      <c r="X173" s="13"/>
      <c r="Y173" s="1"/>
      <c r="Z173" s="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41"/>
      <c r="N174" s="41"/>
      <c r="O174" s="13"/>
      <c r="P174" s="41"/>
      <c r="Q174" s="42"/>
      <c r="R174" s="13"/>
      <c r="S174" s="41"/>
      <c r="T174" s="41"/>
      <c r="U174" s="13"/>
      <c r="V174" s="13"/>
      <c r="W174" s="13"/>
      <c r="X174" s="13"/>
      <c r="Y174" s="1"/>
      <c r="Z174" s="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41"/>
      <c r="N175" s="41"/>
      <c r="O175" s="13"/>
      <c r="P175" s="41"/>
      <c r="Q175" s="42"/>
      <c r="R175" s="13"/>
      <c r="S175" s="41"/>
      <c r="T175" s="41"/>
      <c r="U175" s="13"/>
      <c r="V175" s="13"/>
      <c r="W175" s="13"/>
      <c r="X175" s="13"/>
      <c r="Y175" s="1"/>
      <c r="Z175" s="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41"/>
      <c r="N176" s="41"/>
      <c r="O176" s="13"/>
      <c r="P176" s="41"/>
      <c r="Q176" s="42"/>
      <c r="R176" s="13"/>
      <c r="S176" s="41"/>
      <c r="T176" s="41"/>
      <c r="U176" s="13"/>
      <c r="V176" s="13"/>
      <c r="W176" s="13"/>
      <c r="X176" s="13"/>
      <c r="Y176" s="1"/>
      <c r="Z176" s="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41"/>
      <c r="N177" s="41"/>
      <c r="O177" s="13"/>
      <c r="P177" s="41"/>
      <c r="Q177" s="42"/>
      <c r="R177" s="13"/>
      <c r="S177" s="41"/>
      <c r="T177" s="41"/>
      <c r="U177" s="13"/>
      <c r="V177" s="13"/>
      <c r="W177" s="13"/>
      <c r="X177" s="13"/>
      <c r="Y177" s="1"/>
      <c r="Z177" s="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41"/>
      <c r="N178" s="41"/>
      <c r="O178" s="13"/>
      <c r="P178" s="41"/>
      <c r="Q178" s="42"/>
      <c r="R178" s="13"/>
      <c r="S178" s="41"/>
      <c r="T178" s="41"/>
      <c r="U178" s="13"/>
      <c r="V178" s="13"/>
      <c r="W178" s="13"/>
      <c r="X178" s="13"/>
      <c r="Y178" s="1"/>
      <c r="Z178" s="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41"/>
      <c r="N179" s="41"/>
      <c r="O179" s="13"/>
      <c r="P179" s="41"/>
      <c r="Q179" s="42"/>
      <c r="R179" s="13"/>
      <c r="S179" s="41"/>
      <c r="T179" s="41"/>
      <c r="U179" s="13"/>
      <c r="V179" s="13"/>
      <c r="W179" s="13"/>
      <c r="X179" s="13"/>
      <c r="Y179" s="1"/>
      <c r="Z179" s="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41"/>
      <c r="N180" s="41"/>
      <c r="O180" s="13"/>
      <c r="P180" s="41"/>
      <c r="Q180" s="42"/>
      <c r="R180" s="13"/>
      <c r="S180" s="41"/>
      <c r="T180" s="41"/>
      <c r="U180" s="13"/>
      <c r="V180" s="13"/>
      <c r="W180" s="13"/>
      <c r="X180" s="13"/>
      <c r="Y180" s="1"/>
      <c r="Z180" s="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41"/>
      <c r="N181" s="41"/>
      <c r="O181" s="13"/>
      <c r="P181" s="41"/>
      <c r="Q181" s="42"/>
      <c r="R181" s="13"/>
      <c r="S181" s="41"/>
      <c r="T181" s="41"/>
      <c r="U181" s="13"/>
      <c r="V181" s="13"/>
      <c r="W181" s="13"/>
      <c r="X181" s="13"/>
      <c r="Y181" s="1"/>
      <c r="Z181" s="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41"/>
      <c r="N182" s="41"/>
      <c r="O182" s="13"/>
      <c r="P182" s="41"/>
      <c r="Q182" s="42"/>
      <c r="R182" s="13"/>
      <c r="S182" s="41"/>
      <c r="T182" s="41"/>
      <c r="U182" s="13"/>
      <c r="V182" s="13"/>
      <c r="W182" s="13"/>
      <c r="X182" s="13"/>
      <c r="Y182" s="1"/>
      <c r="Z182" s="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41"/>
      <c r="N183" s="41"/>
      <c r="O183" s="13"/>
      <c r="P183" s="41"/>
      <c r="Q183" s="42"/>
      <c r="R183" s="13"/>
      <c r="S183" s="41"/>
      <c r="T183" s="41"/>
      <c r="U183" s="13"/>
      <c r="V183" s="13"/>
      <c r="W183" s="13"/>
      <c r="X183" s="13"/>
      <c r="Y183" s="1"/>
      <c r="Z183" s="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41"/>
      <c r="N184" s="41"/>
      <c r="O184" s="13"/>
      <c r="P184" s="41"/>
      <c r="Q184" s="42"/>
      <c r="R184" s="13"/>
      <c r="S184" s="41"/>
      <c r="T184" s="41"/>
      <c r="U184" s="13"/>
      <c r="V184" s="13"/>
      <c r="W184" s="13"/>
      <c r="X184" s="13"/>
      <c r="Y184" s="1"/>
      <c r="Z184" s="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41"/>
      <c r="N185" s="41"/>
      <c r="O185" s="13"/>
      <c r="P185" s="41"/>
      <c r="Q185" s="42"/>
      <c r="R185" s="13"/>
      <c r="S185" s="41"/>
      <c r="T185" s="41"/>
      <c r="U185" s="13"/>
      <c r="V185" s="13"/>
      <c r="W185" s="13"/>
      <c r="X185" s="13"/>
      <c r="Y185" s="1"/>
      <c r="Z185" s="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41"/>
      <c r="N186" s="41"/>
      <c r="O186" s="13"/>
      <c r="P186" s="41"/>
      <c r="Q186" s="42"/>
      <c r="R186" s="13"/>
      <c r="S186" s="41"/>
      <c r="T186" s="41"/>
      <c r="U186" s="13"/>
      <c r="V186" s="13"/>
      <c r="W186" s="13"/>
      <c r="X186" s="13"/>
      <c r="Y186" s="1"/>
      <c r="Z186" s="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41"/>
      <c r="N187" s="41"/>
      <c r="O187" s="13"/>
      <c r="P187" s="41"/>
      <c r="Q187" s="42"/>
      <c r="R187" s="13"/>
      <c r="S187" s="41"/>
      <c r="T187" s="41"/>
      <c r="U187" s="13"/>
      <c r="V187" s="13"/>
      <c r="W187" s="13"/>
      <c r="X187" s="13"/>
      <c r="Y187" s="1"/>
      <c r="Z187" s="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41"/>
      <c r="N188" s="41"/>
      <c r="O188" s="13"/>
      <c r="P188" s="41"/>
      <c r="Q188" s="42"/>
      <c r="R188" s="13"/>
      <c r="S188" s="41"/>
      <c r="T188" s="41"/>
      <c r="U188" s="13"/>
      <c r="V188" s="13"/>
      <c r="W188" s="13"/>
      <c r="X188" s="13"/>
      <c r="Y188" s="1"/>
      <c r="Z188" s="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41"/>
      <c r="N189" s="41"/>
      <c r="O189" s="13"/>
      <c r="P189" s="41"/>
      <c r="Q189" s="42"/>
      <c r="R189" s="13"/>
      <c r="S189" s="41"/>
      <c r="T189" s="41"/>
      <c r="U189" s="13"/>
      <c r="V189" s="13"/>
      <c r="W189" s="13"/>
      <c r="X189" s="13"/>
      <c r="Y189" s="1"/>
      <c r="Z189" s="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41"/>
      <c r="N190" s="41"/>
      <c r="O190" s="13"/>
      <c r="P190" s="41"/>
      <c r="Q190" s="42"/>
      <c r="R190" s="13"/>
      <c r="S190" s="41"/>
      <c r="T190" s="41"/>
      <c r="U190" s="13"/>
      <c r="V190" s="13"/>
      <c r="W190" s="13"/>
      <c r="X190" s="13"/>
      <c r="Y190" s="1"/>
      <c r="Z190" s="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41"/>
      <c r="N191" s="41"/>
      <c r="O191" s="13"/>
      <c r="P191" s="41"/>
      <c r="Q191" s="42"/>
      <c r="R191" s="13"/>
      <c r="S191" s="41"/>
      <c r="T191" s="41"/>
      <c r="U191" s="13"/>
      <c r="V191" s="13"/>
      <c r="W191" s="13"/>
      <c r="X191" s="13"/>
      <c r="Y191" s="1"/>
      <c r="Z191" s="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41"/>
      <c r="N192" s="41"/>
      <c r="O192" s="13"/>
      <c r="P192" s="41"/>
      <c r="Q192" s="42"/>
      <c r="R192" s="13"/>
      <c r="S192" s="41"/>
      <c r="T192" s="41"/>
      <c r="U192" s="13"/>
      <c r="V192" s="13"/>
      <c r="W192" s="13"/>
      <c r="X192" s="13"/>
      <c r="Y192" s="1"/>
      <c r="Z192" s="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41"/>
      <c r="N193" s="41"/>
      <c r="O193" s="13"/>
      <c r="P193" s="41"/>
      <c r="Q193" s="42"/>
      <c r="R193" s="13"/>
      <c r="S193" s="41"/>
      <c r="T193" s="41"/>
      <c r="U193" s="13"/>
      <c r="V193" s="13"/>
      <c r="W193" s="13"/>
      <c r="X193" s="13"/>
      <c r="Y193" s="1"/>
      <c r="Z193" s="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41"/>
      <c r="N194" s="41"/>
      <c r="O194" s="13"/>
      <c r="P194" s="41"/>
      <c r="Q194" s="42"/>
      <c r="R194" s="13"/>
      <c r="S194" s="41"/>
      <c r="T194" s="41"/>
      <c r="U194" s="13"/>
      <c r="V194" s="13"/>
      <c r="W194" s="13"/>
      <c r="X194" s="13"/>
      <c r="Y194" s="1"/>
      <c r="Z194" s="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41"/>
      <c r="N195" s="41"/>
      <c r="O195" s="13"/>
      <c r="P195" s="41"/>
      <c r="Q195" s="42"/>
      <c r="R195" s="13"/>
      <c r="S195" s="41"/>
      <c r="T195" s="41"/>
      <c r="U195" s="13"/>
      <c r="V195" s="13"/>
      <c r="W195" s="13"/>
      <c r="X195" s="13"/>
      <c r="Y195" s="1"/>
      <c r="Z195" s="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41"/>
      <c r="N196" s="41"/>
      <c r="O196" s="13"/>
      <c r="P196" s="41"/>
      <c r="Q196" s="42"/>
      <c r="R196" s="13"/>
      <c r="S196" s="41"/>
      <c r="T196" s="41"/>
      <c r="U196" s="13"/>
      <c r="V196" s="13"/>
      <c r="W196" s="13"/>
      <c r="X196" s="13"/>
      <c r="Y196" s="1"/>
      <c r="Z196" s="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41"/>
      <c r="N197" s="41"/>
      <c r="O197" s="13"/>
      <c r="P197" s="41"/>
      <c r="Q197" s="42"/>
      <c r="R197" s="13"/>
      <c r="S197" s="41"/>
      <c r="T197" s="41"/>
      <c r="U197" s="13"/>
      <c r="V197" s="13"/>
      <c r="W197" s="13"/>
      <c r="X197" s="13"/>
      <c r="Y197" s="1"/>
      <c r="Z197" s="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41"/>
      <c r="N198" s="41"/>
      <c r="O198" s="13"/>
      <c r="P198" s="41"/>
      <c r="Q198" s="42"/>
      <c r="R198" s="13"/>
      <c r="S198" s="41"/>
      <c r="T198" s="41"/>
      <c r="U198" s="13"/>
      <c r="V198" s="13"/>
      <c r="W198" s="13"/>
      <c r="X198" s="13"/>
      <c r="Y198" s="1"/>
      <c r="Z198" s="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41"/>
      <c r="N199" s="41"/>
      <c r="O199" s="13"/>
      <c r="P199" s="41"/>
      <c r="Q199" s="42"/>
      <c r="R199" s="13"/>
      <c r="S199" s="41"/>
      <c r="T199" s="41"/>
      <c r="U199" s="13"/>
      <c r="V199" s="13"/>
      <c r="W199" s="13"/>
      <c r="X199" s="13"/>
      <c r="Y199" s="1"/>
      <c r="Z199" s="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41"/>
      <c r="N200" s="41"/>
      <c r="O200" s="13"/>
      <c r="P200" s="41"/>
      <c r="Q200" s="42"/>
      <c r="R200" s="13"/>
      <c r="S200" s="41"/>
      <c r="T200" s="41"/>
      <c r="U200" s="13"/>
      <c r="V200" s="13"/>
      <c r="W200" s="13"/>
      <c r="X200" s="13"/>
      <c r="Y200" s="1"/>
      <c r="Z200" s="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41"/>
      <c r="N201" s="41"/>
      <c r="O201" s="13"/>
      <c r="P201" s="41"/>
      <c r="Q201" s="42"/>
      <c r="R201" s="13"/>
      <c r="S201" s="41"/>
      <c r="T201" s="41"/>
      <c r="U201" s="13"/>
      <c r="V201" s="13"/>
      <c r="W201" s="13"/>
      <c r="X201" s="13"/>
      <c r="Y201" s="1"/>
      <c r="Z201" s="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41"/>
      <c r="N202" s="41"/>
      <c r="O202" s="13"/>
      <c r="P202" s="41"/>
      <c r="Q202" s="42"/>
      <c r="R202" s="13"/>
      <c r="S202" s="41"/>
      <c r="T202" s="41"/>
      <c r="U202" s="13"/>
      <c r="V202" s="13"/>
      <c r="W202" s="13"/>
      <c r="X202" s="13"/>
      <c r="Y202" s="1"/>
      <c r="Z202" s="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41"/>
      <c r="N203" s="41"/>
      <c r="O203" s="13"/>
      <c r="P203" s="41"/>
      <c r="Q203" s="42"/>
      <c r="R203" s="13"/>
      <c r="S203" s="41"/>
      <c r="T203" s="41"/>
      <c r="U203" s="13"/>
      <c r="V203" s="13"/>
      <c r="W203" s="13"/>
      <c r="X203" s="13"/>
      <c r="Y203" s="1"/>
      <c r="Z203" s="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41"/>
      <c r="N204" s="41"/>
      <c r="O204" s="13"/>
      <c r="P204" s="41"/>
      <c r="Q204" s="42"/>
      <c r="R204" s="13"/>
      <c r="S204" s="41"/>
      <c r="T204" s="41"/>
      <c r="U204" s="13"/>
      <c r="V204" s="13"/>
      <c r="W204" s="13"/>
      <c r="X204" s="13"/>
      <c r="Y204" s="1"/>
      <c r="Z204" s="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41"/>
      <c r="N205" s="41"/>
      <c r="O205" s="13"/>
      <c r="P205" s="41"/>
      <c r="Q205" s="42"/>
      <c r="R205" s="13"/>
      <c r="S205" s="41"/>
      <c r="T205" s="41"/>
      <c r="U205" s="13"/>
      <c r="V205" s="13"/>
      <c r="W205" s="13"/>
      <c r="X205" s="13"/>
      <c r="Y205" s="1"/>
      <c r="Z205" s="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41"/>
      <c r="N206" s="41"/>
      <c r="O206" s="13"/>
      <c r="P206" s="41"/>
      <c r="Q206" s="42"/>
      <c r="R206" s="13"/>
      <c r="S206" s="41"/>
      <c r="T206" s="41"/>
      <c r="U206" s="13"/>
      <c r="V206" s="13"/>
      <c r="W206" s="13"/>
      <c r="X206" s="13"/>
      <c r="Y206" s="1"/>
      <c r="Z206" s="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41"/>
      <c r="N207" s="41"/>
      <c r="O207" s="13"/>
      <c r="P207" s="41"/>
      <c r="Q207" s="42"/>
      <c r="R207" s="13"/>
      <c r="S207" s="41"/>
      <c r="T207" s="41"/>
      <c r="U207" s="13"/>
      <c r="V207" s="13"/>
      <c r="W207" s="13"/>
      <c r="X207" s="13"/>
      <c r="Y207" s="1"/>
      <c r="Z207" s="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41"/>
      <c r="N208" s="41"/>
      <c r="O208" s="13"/>
      <c r="P208" s="41"/>
      <c r="Q208" s="42"/>
      <c r="R208" s="13"/>
      <c r="S208" s="41"/>
      <c r="T208" s="41"/>
      <c r="U208" s="13"/>
      <c r="V208" s="13"/>
      <c r="W208" s="13"/>
      <c r="X208" s="13"/>
      <c r="Y208" s="1"/>
      <c r="Z208" s="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41"/>
      <c r="N209" s="41"/>
      <c r="O209" s="13"/>
      <c r="P209" s="41"/>
      <c r="Q209" s="42"/>
      <c r="R209" s="13"/>
      <c r="S209" s="41"/>
      <c r="T209" s="41"/>
      <c r="U209" s="13"/>
      <c r="V209" s="13"/>
      <c r="W209" s="13"/>
      <c r="X209" s="13"/>
      <c r="Y209" s="1"/>
      <c r="Z209" s="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41"/>
      <c r="N210" s="41"/>
      <c r="O210" s="13"/>
      <c r="P210" s="41"/>
      <c r="Q210" s="42"/>
      <c r="R210" s="13"/>
      <c r="S210" s="41"/>
      <c r="T210" s="41"/>
      <c r="U210" s="13"/>
      <c r="V210" s="13"/>
      <c r="W210" s="13"/>
      <c r="X210" s="13"/>
      <c r="Y210" s="1"/>
      <c r="Z210" s="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41"/>
      <c r="N211" s="41"/>
      <c r="O211" s="13"/>
      <c r="P211" s="41"/>
      <c r="Q211" s="42"/>
      <c r="R211" s="13"/>
      <c r="S211" s="41"/>
      <c r="T211" s="41"/>
      <c r="U211" s="13"/>
      <c r="V211" s="13"/>
      <c r="W211" s="13"/>
      <c r="X211" s="13"/>
      <c r="Y211" s="1"/>
      <c r="Z211" s="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41"/>
      <c r="N212" s="41"/>
      <c r="O212" s="13"/>
      <c r="P212" s="41"/>
      <c r="Q212" s="42"/>
      <c r="R212" s="13"/>
      <c r="S212" s="41"/>
      <c r="T212" s="41"/>
      <c r="U212" s="13"/>
      <c r="V212" s="13"/>
      <c r="W212" s="13"/>
      <c r="X212" s="13"/>
      <c r="Y212" s="1"/>
      <c r="Z212" s="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41"/>
      <c r="N213" s="41"/>
      <c r="O213" s="13"/>
      <c r="P213" s="41"/>
      <c r="Q213" s="42"/>
      <c r="R213" s="13"/>
      <c r="S213" s="41"/>
      <c r="T213" s="41"/>
      <c r="U213" s="13"/>
      <c r="V213" s="13"/>
      <c r="W213" s="13"/>
      <c r="X213" s="13"/>
      <c r="Y213" s="1"/>
      <c r="Z213" s="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41"/>
      <c r="N214" s="41"/>
      <c r="O214" s="13"/>
      <c r="P214" s="41"/>
      <c r="Q214" s="42"/>
      <c r="R214" s="13"/>
      <c r="S214" s="41"/>
      <c r="T214" s="41"/>
      <c r="U214" s="13"/>
      <c r="V214" s="13"/>
      <c r="W214" s="13"/>
      <c r="X214" s="13"/>
      <c r="Y214" s="1"/>
      <c r="Z214" s="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41"/>
      <c r="N215" s="41"/>
      <c r="O215" s="13"/>
      <c r="P215" s="41"/>
      <c r="Q215" s="42"/>
      <c r="R215" s="13"/>
      <c r="S215" s="41"/>
      <c r="T215" s="41"/>
      <c r="U215" s="13"/>
      <c r="V215" s="13"/>
      <c r="W215" s="13"/>
      <c r="X215" s="13"/>
      <c r="Y215" s="1"/>
      <c r="Z215" s="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41"/>
      <c r="N216" s="41"/>
      <c r="O216" s="13"/>
      <c r="P216" s="41"/>
      <c r="Q216" s="42"/>
      <c r="R216" s="13"/>
      <c r="S216" s="41"/>
      <c r="T216" s="41"/>
      <c r="U216" s="13"/>
      <c r="V216" s="13"/>
      <c r="W216" s="13"/>
      <c r="X216" s="13"/>
      <c r="Y216" s="1"/>
      <c r="Z216" s="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41"/>
      <c r="N217" s="41"/>
      <c r="O217" s="13"/>
      <c r="P217" s="41"/>
      <c r="Q217" s="42"/>
      <c r="R217" s="13"/>
      <c r="S217" s="41"/>
      <c r="T217" s="41"/>
      <c r="U217" s="13"/>
      <c r="V217" s="13"/>
      <c r="W217" s="13"/>
      <c r="X217" s="13"/>
      <c r="Y217" s="1"/>
      <c r="Z217" s="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41"/>
      <c r="N218" s="41"/>
      <c r="O218" s="13"/>
      <c r="P218" s="41"/>
      <c r="Q218" s="42"/>
      <c r="R218" s="13"/>
      <c r="S218" s="41"/>
      <c r="T218" s="41"/>
      <c r="U218" s="13"/>
      <c r="V218" s="13"/>
      <c r="W218" s="13"/>
      <c r="X218" s="13"/>
      <c r="Y218" s="1"/>
      <c r="Z218" s="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41"/>
      <c r="N219" s="41"/>
      <c r="O219" s="13"/>
      <c r="P219" s="41"/>
      <c r="Q219" s="42"/>
      <c r="R219" s="13"/>
      <c r="S219" s="41"/>
      <c r="T219" s="41"/>
      <c r="U219" s="13"/>
      <c r="V219" s="13"/>
      <c r="W219" s="13"/>
      <c r="X219" s="13"/>
      <c r="Y219" s="1"/>
      <c r="Z219" s="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41"/>
      <c r="N220" s="41"/>
      <c r="O220" s="13"/>
      <c r="P220" s="41"/>
      <c r="Q220" s="42"/>
      <c r="R220" s="13"/>
      <c r="S220" s="41"/>
      <c r="T220" s="41"/>
      <c r="U220" s="13"/>
      <c r="V220" s="13"/>
      <c r="W220" s="13"/>
      <c r="X220" s="13"/>
      <c r="Y220" s="1"/>
      <c r="Z220" s="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